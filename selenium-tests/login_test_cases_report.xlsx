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1E293B"/>
      <sz val="20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3E8FF"/>
        <bgColor rgb="00F3E8FF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0" borderId="0" pivotButton="0" quotePrefix="0" xfId="0"/>
    <xf numFmtId="0" fontId="5" fillId="8" borderId="2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6" fillId="9" borderId="2" pivotButton="0" quotePrefix="0" xfId="0"/>
    <xf numFmtId="0" fontId="6" fillId="9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6" customWidth="1" min="5" max="5"/>
    <col width="4" customWidth="1" min="6" max="6"/>
    <col width="36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2">
      <c r="B2" s="1" t="inlineStr">
        <is>
          <t>SHAREBITE E2E SELENIUM TEST SUITE - EXECUTIVE SUMMARY REPORT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B4" s="3" t="inlineStr">
        <is>
          <t>Target Application: SHAREBITE Web Frontend (/login) | Generated Test Cases: 300 | Scope: E2E Selenium Automation &amp; Verification</t>
        </is>
      </c>
    </row>
    <row r="6">
      <c r="B6" s="4" t="inlineStr">
        <is>
          <t>TOTAL TEST CASES
=COUNTA('Test Details'!A2:A301)</t>
        </is>
      </c>
      <c r="C6" s="5" t="n"/>
      <c r="D6" s="6" t="inlineStr">
        <is>
          <t>PASSED TESTS
=COUNTIF('Test Details'!L2:L301, "Pass")</t>
        </is>
      </c>
      <c r="E6" s="7" t="n"/>
      <c r="F6" s="8" t="inlineStr">
        <is>
          <t>FAILED TESTS
=COUNTIF('Test Details'!L2:L301, "Fail")</t>
        </is>
      </c>
      <c r="G6" s="9" t="n"/>
      <c r="H6" s="10" t="inlineStr">
        <is>
          <t>PENDING TESTS
=COUNTIF('Test Details'!L2:L301, "Pending")</t>
        </is>
      </c>
      <c r="I6" s="11" t="n"/>
      <c r="J6" s="12" t="inlineStr">
        <is>
          <t>AUTOMATED COVERAGE
=COUNTIF('Test Details'!M2:M301, "Automated")/COUNTA('Test Details'!A2:A301)</t>
        </is>
      </c>
      <c r="K6" s="13" t="n"/>
    </row>
    <row r="7">
      <c r="B7" s="5" t="n"/>
      <c r="C7" s="5" t="n"/>
      <c r="D7" s="7" t="n"/>
      <c r="E7" s="7" t="n"/>
      <c r="F7" s="9" t="n"/>
      <c r="G7" s="9" t="n"/>
      <c r="H7" s="11" t="n"/>
      <c r="I7" s="11" t="n"/>
      <c r="J7" s="13" t="n"/>
      <c r="K7" s="13" t="n"/>
    </row>
    <row r="9">
      <c r="B9" s="14" t="inlineStr">
        <is>
          <t>BREAKDOWN BY PRIORITY</t>
        </is>
      </c>
      <c r="G9" s="14" t="inlineStr">
        <is>
          <t>BREAKDOWN BY TEST CATEGORY</t>
        </is>
      </c>
    </row>
    <row r="10">
      <c r="B10" s="15" t="inlineStr">
        <is>
          <t>Priority Level</t>
        </is>
      </c>
      <c r="C10" s="15" t="inlineStr">
        <is>
          <t>Total Count</t>
        </is>
      </c>
      <c r="D10" s="15" t="inlineStr">
        <is>
          <t>Pass Count</t>
        </is>
      </c>
      <c r="E10" s="15" t="inlineStr">
        <is>
          <t>Pass Rate (%)</t>
        </is>
      </c>
      <c r="G10" s="15" t="inlineStr">
        <is>
          <t>Test Category</t>
        </is>
      </c>
      <c r="H10" s="15" t="inlineStr">
        <is>
          <t>Total Cases</t>
        </is>
      </c>
      <c r="I10" s="15" t="inlineStr">
        <is>
          <t>Automated</t>
        </is>
      </c>
      <c r="J10" s="15" t="inlineStr">
        <is>
          <t>Manual</t>
        </is>
      </c>
      <c r="K10" s="15" t="inlineStr">
        <is>
          <t>Pass Rate (%)</t>
        </is>
      </c>
    </row>
    <row r="11">
      <c r="B11" s="16" t="inlineStr">
        <is>
          <t>P0 - Critical</t>
        </is>
      </c>
      <c r="C11" s="17">
        <f>COUNTIF('Test Details'!D2:D301, "P0 - Critical")</f>
        <v/>
      </c>
      <c r="D11" s="17">
        <f>COUNTIFS('Test Details'!D2:D301, "P0 - Critical", 'Test Details'!L2:L301, "Pass")</f>
        <v/>
      </c>
      <c r="E11" s="18">
        <f>D11/C11</f>
        <v/>
      </c>
      <c r="G11" s="16" t="inlineStr">
        <is>
          <t>Donor Login &amp; Auth</t>
        </is>
      </c>
      <c r="H11" s="17">
        <f>COUNTIF('Test Details'!C2:C301, "Donor Login &amp; Auth")</f>
        <v/>
      </c>
      <c r="I11" s="17">
        <f>COUNTIFS('Test Details'!C2:C301, "Donor Login &amp; Auth", 'Test Details'!M2:M301, "Automated")</f>
        <v/>
      </c>
      <c r="J11" s="17">
        <f>COUNTIFS('Test Details'!C2:C301, "Donor Login &amp; Auth", 'Test Details'!M2:M301, "Manual")</f>
        <v/>
      </c>
      <c r="K11" s="18">
        <f>COUNTIFS('Test Details'!C2:C301, "Donor Login &amp; Auth", 'Test Details'!L2:L301, "Pass")/H11</f>
        <v/>
      </c>
    </row>
    <row r="12">
      <c r="B12" s="16" t="inlineStr">
        <is>
          <t>P1 - High</t>
        </is>
      </c>
      <c r="C12" s="17">
        <f>COUNTIF('Test Details'!D2:D301, "P1 - High")</f>
        <v/>
      </c>
      <c r="D12" s="17">
        <f>COUNTIFS('Test Details'!D2:D301, "P1 - High", 'Test Details'!L2:L301, "Pass")</f>
        <v/>
      </c>
      <c r="E12" s="18">
        <f>D12/C12</f>
        <v/>
      </c>
      <c r="G12" s="16" t="inlineStr">
        <is>
          <t>Receiver Login &amp; Auth</t>
        </is>
      </c>
      <c r="H12" s="17">
        <f>COUNTIF('Test Details'!C2:C301, "Receiver Login &amp; Auth")</f>
        <v/>
      </c>
      <c r="I12" s="17">
        <f>COUNTIFS('Test Details'!C2:C301, "Receiver Login &amp; Auth", 'Test Details'!M2:M301, "Automated")</f>
        <v/>
      </c>
      <c r="J12" s="17">
        <f>COUNTIFS('Test Details'!C2:C301, "Receiver Login &amp; Auth", 'Test Details'!M2:M301, "Manual")</f>
        <v/>
      </c>
      <c r="K12" s="18">
        <f>COUNTIFS('Test Details'!C2:C301, "Receiver Login &amp; Auth", 'Test Details'!L2:L301, "Pass")/H12</f>
        <v/>
      </c>
    </row>
    <row r="13">
      <c r="B13" s="16" t="inlineStr">
        <is>
          <t>P2 - Medium</t>
        </is>
      </c>
      <c r="C13" s="17">
        <f>COUNTIF('Test Details'!D2:D301, "P2 - Medium")</f>
        <v/>
      </c>
      <c r="D13" s="17">
        <f>COUNTIFS('Test Details'!D2:D301, "P2 - Medium", 'Test Details'!L2:L301, "Pass")</f>
        <v/>
      </c>
      <c r="E13" s="18">
        <f>D13/C13</f>
        <v/>
      </c>
      <c r="G13" s="16" t="inlineStr">
        <is>
          <t>Input Validation &amp; Form Constraints</t>
        </is>
      </c>
      <c r="H13" s="17">
        <f>COUNTIF('Test Details'!C2:C301, "Input Validation &amp; Form Constraints")</f>
        <v/>
      </c>
      <c r="I13" s="17">
        <f>COUNTIFS('Test Details'!C2:C301, "Input Validation &amp; Form Constraints", 'Test Details'!M2:M301, "Automated")</f>
        <v/>
      </c>
      <c r="J13" s="17">
        <f>COUNTIFS('Test Details'!C2:C301, "Input Validation &amp; Form Constraints", 'Test Details'!M2:M301, "Manual")</f>
        <v/>
      </c>
      <c r="K13" s="18">
        <f>COUNTIFS('Test Details'!C2:C301, "Input Validation &amp; Form Constraints", 'Test Details'!L2:L301, "Pass")/H13</f>
        <v/>
      </c>
    </row>
    <row r="14">
      <c r="B14" s="16" t="inlineStr">
        <is>
          <t>P3 - Low</t>
        </is>
      </c>
      <c r="C14" s="17">
        <f>COUNTIF('Test Details'!D2:D301, "P3 - Low")</f>
        <v/>
      </c>
      <c r="D14" s="17">
        <f>COUNTIFS('Test Details'!D2:D301, "P3 - Low", 'Test Details'!L2:L301, "Pass")</f>
        <v/>
      </c>
      <c r="E14" s="18">
        <f>D14/C14</f>
        <v/>
      </c>
      <c r="G14" s="16" t="inlineStr">
        <is>
          <t>Error Handling &amp; Feedback</t>
        </is>
      </c>
      <c r="H14" s="17">
        <f>COUNTIF('Test Details'!C2:C301, "Error Handling &amp; Feedback")</f>
        <v/>
      </c>
      <c r="I14" s="17">
        <f>COUNTIFS('Test Details'!C2:C301, "Error Handling &amp; Feedback", 'Test Details'!M2:M301, "Automated")</f>
        <v/>
      </c>
      <c r="J14" s="17">
        <f>COUNTIFS('Test Details'!C2:C301, "Error Handling &amp; Feedback", 'Test Details'!M2:M301, "Manual")</f>
        <v/>
      </c>
      <c r="K14" s="18">
        <f>COUNTIFS('Test Details'!C2:C301, "Error Handling &amp; Feedback", 'Test Details'!L2:L301, "Pass")/H14</f>
        <v/>
      </c>
    </row>
    <row r="15">
      <c r="B15" s="19" t="inlineStr">
        <is>
          <t>Total</t>
        </is>
      </c>
      <c r="C15" s="20">
        <f>SUM(C11:C14)</f>
        <v/>
      </c>
      <c r="D15" s="20">
        <f>SUM(D11:D14)</f>
        <v/>
      </c>
      <c r="E15" s="21">
        <f>D15/C15</f>
        <v/>
      </c>
      <c r="G15" s="16" t="inlineStr">
        <is>
          <t>Security &amp; Authentication Controls</t>
        </is>
      </c>
      <c r="H15" s="17">
        <f>COUNTIF('Test Details'!C2:C301, "Security &amp; Authentication Controls")</f>
        <v/>
      </c>
      <c r="I15" s="17">
        <f>COUNTIFS('Test Details'!C2:C301, "Security &amp; Authentication Controls", 'Test Details'!M2:M301, "Automated")</f>
        <v/>
      </c>
      <c r="J15" s="17">
        <f>COUNTIFS('Test Details'!C2:C301, "Security &amp; Authentication Controls", 'Test Details'!M2:M301, "Manual")</f>
        <v/>
      </c>
      <c r="K15" s="18">
        <f>COUNTIFS('Test Details'!C2:C301, "Security &amp; Authentication Controls", 'Test Details'!L2:L301, "Pass")/H15</f>
        <v/>
      </c>
    </row>
    <row r="16">
      <c r="G16" s="16" t="inlineStr">
        <is>
          <t>UI Layout, Styling &amp; Responsiveness</t>
        </is>
      </c>
      <c r="H16" s="17">
        <f>COUNTIF('Test Details'!C2:C301, "UI Layout, Styling &amp; Responsiveness")</f>
        <v/>
      </c>
      <c r="I16" s="17">
        <f>COUNTIFS('Test Details'!C2:C301, "UI Layout, Styling &amp; Responsiveness", 'Test Details'!M2:M301, "Automated")</f>
        <v/>
      </c>
      <c r="J16" s="17">
        <f>COUNTIFS('Test Details'!C2:C301, "UI Layout, Styling &amp; Responsiveness", 'Test Details'!M2:M301, "Manual")</f>
        <v/>
      </c>
      <c r="K16" s="18">
        <f>COUNTIFS('Test Details'!C2:C301, "UI Layout, Styling &amp; Responsiveness", 'Test Details'!L2:L301, "Pass")/H16</f>
        <v/>
      </c>
    </row>
    <row r="17">
      <c r="G17" s="16" t="inlineStr">
        <is>
          <t>Navigation &amp; Route Transitions</t>
        </is>
      </c>
      <c r="H17" s="17">
        <f>COUNTIF('Test Details'!C2:C301, "Navigation &amp; Route Transitions")</f>
        <v/>
      </c>
      <c r="I17" s="17">
        <f>COUNTIFS('Test Details'!C2:C301, "Navigation &amp; Route Transitions", 'Test Details'!M2:M301, "Automated")</f>
        <v/>
      </c>
      <c r="J17" s="17">
        <f>COUNTIFS('Test Details'!C2:C301, "Navigation &amp; Route Transitions", 'Test Details'!M2:M301, "Manual")</f>
        <v/>
      </c>
      <c r="K17" s="18">
        <f>COUNTIFS('Test Details'!C2:C301, "Navigation &amp; Route Transitions", 'Test Details'!L2:L301, "Pass")/H17</f>
        <v/>
      </c>
    </row>
    <row r="18">
      <c r="G18" s="16" t="inlineStr">
        <is>
          <t>Keyboard Navigation &amp; Accessibility</t>
        </is>
      </c>
      <c r="H18" s="17">
        <f>COUNTIF('Test Details'!C2:C301, "Keyboard Navigation &amp; Accessibility")</f>
        <v/>
      </c>
      <c r="I18" s="17">
        <f>COUNTIFS('Test Details'!C2:C301, "Keyboard Navigation &amp; Accessibility", 'Test Details'!M2:M301, "Automated")</f>
        <v/>
      </c>
      <c r="J18" s="17">
        <f>COUNTIFS('Test Details'!C2:C301, "Keyboard Navigation &amp; Accessibility", 'Test Details'!M2:M301, "Manual")</f>
        <v/>
      </c>
      <c r="K18" s="18">
        <f>COUNTIFS('Test Details'!C2:C301, "Keyboard Navigation &amp; Accessibility", 'Test Details'!L2:L301, "Pass")/H18</f>
        <v/>
      </c>
    </row>
    <row r="19">
      <c r="G19" s="16" t="inlineStr">
        <is>
          <t>Session &amp; State Management</t>
        </is>
      </c>
      <c r="H19" s="17">
        <f>COUNTIF('Test Details'!C2:C301, "Session &amp; State Management")</f>
        <v/>
      </c>
      <c r="I19" s="17">
        <f>COUNTIFS('Test Details'!C2:C301, "Session &amp; State Management", 'Test Details'!M2:M301, "Automated")</f>
        <v/>
      </c>
      <c r="J19" s="17">
        <f>COUNTIFS('Test Details'!C2:C301, "Session &amp; State Management", 'Test Details'!M2:M301, "Manual")</f>
        <v/>
      </c>
      <c r="K19" s="18">
        <f>COUNTIFS('Test Details'!C2:C301, "Session &amp; State Management", 'Test Details'!L2:L301, "Pass")/H19</f>
        <v/>
      </c>
    </row>
    <row r="20">
      <c r="G20" s="16" t="inlineStr">
        <is>
          <t>Performance &amp; Network Edge Cases</t>
        </is>
      </c>
      <c r="H20" s="17">
        <f>COUNTIF('Test Details'!C2:C301, "Performance &amp; Network Edge Cases")</f>
        <v/>
      </c>
      <c r="I20" s="17">
        <f>COUNTIFS('Test Details'!C2:C301, "Performance &amp; Network Edge Cases", 'Test Details'!M2:M301, "Automated")</f>
        <v/>
      </c>
      <c r="J20" s="17">
        <f>COUNTIFS('Test Details'!C2:C301, "Performance &amp; Network Edge Cases", 'Test Details'!M2:M301, "Manual")</f>
        <v/>
      </c>
      <c r="K20" s="18">
        <f>COUNTIFS('Test Details'!C2:C301, "Performance &amp; Network Edge Cases", 'Test Details'!L2:L301, "Pass")/H20</f>
        <v/>
      </c>
    </row>
    <row r="21">
      <c r="G21" s="19" t="inlineStr">
        <is>
          <t>Total</t>
        </is>
      </c>
      <c r="H21" s="20">
        <f>SUM(H11:H20)</f>
        <v/>
      </c>
      <c r="I21" s="20">
        <f>SUM(I11:I20)</f>
        <v/>
      </c>
      <c r="J21" s="20">
        <f>SUM(J11:J20)</f>
        <v/>
      </c>
      <c r="K21" s="21">
        <f>AVERAGE(K11:K20)</f>
        <v/>
      </c>
    </row>
  </sheetData>
  <mergeCells count="6">
    <mergeCell ref="H6:I7"/>
    <mergeCell ref="J6:K7"/>
    <mergeCell ref="D6:E7"/>
    <mergeCell ref="B6:C7"/>
    <mergeCell ref="F6:G7"/>
    <mergeCell ref="B2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16" customWidth="1" min="4" max="4"/>
    <col width="16" customWidth="1" min="5" max="5"/>
    <col width="35" customWidth="1" min="6" max="6"/>
    <col width="30" customWidth="1" min="7" max="7"/>
    <col width="45" customWidth="1" min="8" max="8"/>
    <col width="28" customWidth="1" min="9" max="9"/>
    <col width="45" customWidth="1" min="10" max="10"/>
    <col width="20" customWidth="1" min="11" max="11"/>
    <col width="12" customWidth="1" min="12" max="12"/>
    <col width="18" customWidth="1" min="13" max="13"/>
  </cols>
  <sheetData>
    <row r="1">
      <c r="A1" s="15" t="inlineStr">
        <is>
          <t>Test Case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Type</t>
        </is>
      </c>
      <c r="F1" s="15" t="inlineStr">
        <is>
          <t>Test Title</t>
        </is>
      </c>
      <c r="G1" s="15" t="inlineStr">
        <is>
          <t>Preconditions</t>
        </is>
      </c>
      <c r="H1" s="15" t="inlineStr">
        <is>
          <t>Test Steps</t>
        </is>
      </c>
      <c r="I1" s="15" t="inlineStr">
        <is>
          <t>Test Data</t>
        </is>
      </c>
      <c r="J1" s="15" t="inlineStr">
        <is>
          <t>Expected Outcome</t>
        </is>
      </c>
      <c r="K1" s="15" t="inlineStr">
        <is>
          <t>Actual Outcome</t>
        </is>
      </c>
      <c r="L1" s="15" t="inlineStr">
        <is>
          <t>Status</t>
        </is>
      </c>
      <c r="M1" s="15" t="inlineStr">
        <is>
          <t>Automation Status</t>
        </is>
      </c>
    </row>
    <row r="2">
      <c r="A2" s="22" t="inlineStr">
        <is>
          <t>TC_LOG_001</t>
        </is>
      </c>
      <c r="B2" s="23" t="inlineStr">
        <is>
          <t>Authentication</t>
        </is>
      </c>
      <c r="C2" s="24" t="inlineStr">
        <is>
          <t>Donor Login &amp; Auth</t>
        </is>
      </c>
      <c r="D2" s="22" t="inlineStr">
        <is>
          <t>P0 - Critical</t>
        </is>
      </c>
      <c r="E2" s="23" t="inlineStr">
        <is>
          <t>Functional</t>
        </is>
      </c>
      <c r="F2" s="24" t="inlineStr">
        <is>
          <t>Donor Login - Donor Role Selection</t>
        </is>
      </c>
      <c r="G2" s="24" t="inlineStr">
        <is>
          <t>SHAREBITE app active on http://localhost:5173/login</t>
        </is>
      </c>
      <c r="H2" s="24" t="inlineStr">
        <is>
          <t>1. Navigate to /login. 2. Ensure Donor role is active. 3. Select Donor role toggle. 4. Verify outcome.</t>
        </is>
      </c>
      <c r="I2" s="24" t="inlineStr">
        <is>
          <t>Role switcher button clicked</t>
        </is>
      </c>
      <c r="J2" s="24" t="inlineStr">
        <is>
          <t>Donor role highlighted, slogan 'List surplus food' active</t>
        </is>
      </c>
      <c r="K2" s="24" t="inlineStr">
        <is>
          <t>As expected</t>
        </is>
      </c>
      <c r="L2" s="25" t="inlineStr">
        <is>
          <t>Pass</t>
        </is>
      </c>
      <c r="M2" s="23" t="inlineStr">
        <is>
          <t>Automated</t>
        </is>
      </c>
    </row>
    <row r="3">
      <c r="A3" s="26" t="inlineStr">
        <is>
          <t>TC_LOG_002</t>
        </is>
      </c>
      <c r="B3" s="27" t="inlineStr">
        <is>
          <t>Authentication</t>
        </is>
      </c>
      <c r="C3" s="28" t="inlineStr">
        <is>
          <t>Donor Login &amp; Auth</t>
        </is>
      </c>
      <c r="D3" s="26" t="inlineStr">
        <is>
          <t>P0 - Critical</t>
        </is>
      </c>
      <c r="E3" s="27" t="inlineStr">
        <is>
          <t>Functional</t>
        </is>
      </c>
      <c r="F3" s="28" t="inlineStr">
        <is>
          <t>Donor Login - Donor Credentials - Valid Email &amp; Password</t>
        </is>
      </c>
      <c r="G3" s="28" t="inlineStr">
        <is>
          <t>SHAREBITE app active on http://localhost:5173/login</t>
        </is>
      </c>
      <c r="H3" s="28" t="inlineStr">
        <is>
          <t>1. Navigate to /login. 2. Ensure Donor role is active. 3. Enter valid donor email and password. 4. Verify outcome.</t>
        </is>
      </c>
      <c r="I3" s="28" t="inlineStr">
        <is>
          <t>donor@sharebite.org / donorPass123</t>
        </is>
      </c>
      <c r="J3" s="28" t="inlineStr">
        <is>
          <t>User authenticated, redirected to Donor Dashboard</t>
        </is>
      </c>
      <c r="K3" s="28" t="inlineStr">
        <is>
          <t>As expected</t>
        </is>
      </c>
      <c r="L3" s="25" t="inlineStr">
        <is>
          <t>Pass</t>
        </is>
      </c>
      <c r="M3" s="27" t="inlineStr">
        <is>
          <t>Automated</t>
        </is>
      </c>
    </row>
    <row r="4">
      <c r="A4" s="22" t="inlineStr">
        <is>
          <t>TC_LOG_003</t>
        </is>
      </c>
      <c r="B4" s="23" t="inlineStr">
        <is>
          <t>Authentication</t>
        </is>
      </c>
      <c r="C4" s="24" t="inlineStr">
        <is>
          <t>Donor Login &amp; Auth</t>
        </is>
      </c>
      <c r="D4" s="22" t="inlineStr">
        <is>
          <t>P0 - Critical</t>
        </is>
      </c>
      <c r="E4" s="23" t="inlineStr">
        <is>
          <t>Functional</t>
        </is>
      </c>
      <c r="F4" s="24" t="inlineStr">
        <is>
          <t>Donor Login - Donor Demo Credentials Auto-Fill</t>
        </is>
      </c>
      <c r="G4" s="24" t="inlineStr">
        <is>
          <t>SHAREBITE app active on http://localhost:5173/login</t>
        </is>
      </c>
      <c r="H4" s="24" t="inlineStr">
        <is>
          <t>1. Navigate to /login. 2. Ensure Donor role is active. 3. Click demo donor option. 4. Verify outcome.</t>
        </is>
      </c>
      <c r="I4" s="24" t="inlineStr">
        <is>
          <t>Selected demo preset</t>
        </is>
      </c>
      <c r="J4" s="24" t="inlineStr">
        <is>
          <t>Email and password auto-populated in form</t>
        </is>
      </c>
      <c r="K4" s="24" t="inlineStr">
        <is>
          <t>As expected</t>
        </is>
      </c>
      <c r="L4" s="25" t="inlineStr">
        <is>
          <t>Pass</t>
        </is>
      </c>
      <c r="M4" s="23" t="inlineStr">
        <is>
          <t>Automated</t>
        </is>
      </c>
    </row>
    <row r="5">
      <c r="A5" s="26" t="inlineStr">
        <is>
          <t>TC_LOG_004</t>
        </is>
      </c>
      <c r="B5" s="27" t="inlineStr">
        <is>
          <t>Authentication</t>
        </is>
      </c>
      <c r="C5" s="28" t="inlineStr">
        <is>
          <t>Donor Login &amp; Auth</t>
        </is>
      </c>
      <c r="D5" s="26" t="inlineStr">
        <is>
          <t>P0 - Critical</t>
        </is>
      </c>
      <c r="E5" s="27" t="inlineStr">
        <is>
          <t>Functional</t>
        </is>
      </c>
      <c r="F5" s="28" t="inlineStr">
        <is>
          <t>Donor Login - Donor Dashboard Greeting Verification</t>
        </is>
      </c>
      <c r="G5" s="28" t="inlineStr">
        <is>
          <t>SHAREBITE app active on http://localhost:5173/login</t>
        </is>
      </c>
      <c r="H5" s="28" t="inlineStr">
        <is>
          <t>1. Navigate to /login. 2. Ensure Donor role is active. 3. Log in as Donor and inspect dashboard. 4. Verify outcome.</t>
        </is>
      </c>
      <c r="I5" s="28" t="inlineStr">
        <is>
          <t>donor@sharebite.org</t>
        </is>
      </c>
      <c r="J5" s="28" t="inlineStr">
        <is>
          <t>Welcome banner displays Donor business name</t>
        </is>
      </c>
      <c r="K5" s="28" t="inlineStr">
        <is>
          <t>As expected</t>
        </is>
      </c>
      <c r="L5" s="25" t="inlineStr">
        <is>
          <t>Pass</t>
        </is>
      </c>
      <c r="M5" s="27" t="inlineStr">
        <is>
          <t>Automated</t>
        </is>
      </c>
    </row>
    <row r="6">
      <c r="A6" s="22" t="inlineStr">
        <is>
          <t>TC_LOG_005</t>
        </is>
      </c>
      <c r="B6" s="23" t="inlineStr">
        <is>
          <t>Authentication</t>
        </is>
      </c>
      <c r="C6" s="24" t="inlineStr">
        <is>
          <t>Donor Login &amp; Auth</t>
        </is>
      </c>
      <c r="D6" s="22" t="inlineStr">
        <is>
          <t>P0 - Critical</t>
        </is>
      </c>
      <c r="E6" s="23" t="inlineStr">
        <is>
          <t>Functional</t>
        </is>
      </c>
      <c r="F6" s="24" t="inlineStr">
        <is>
          <t>Donor Login - Donor Role Re-selection State</t>
        </is>
      </c>
      <c r="G6" s="24" t="inlineStr">
        <is>
          <t>SHAREBITE app active on http://localhost:5173/login</t>
        </is>
      </c>
      <c r="H6" s="24" t="inlineStr">
        <is>
          <t>1. Navigate to /login. 2. Ensure Donor role is active. 3. Toggle to Receiver then back to Donor. 4. Verify outcome.</t>
        </is>
      </c>
      <c r="I6" s="24" t="inlineStr">
        <is>
          <t>Click Receiver then Donor</t>
        </is>
      </c>
      <c r="J6" s="24" t="inlineStr">
        <is>
          <t>Form resets role selection to Donor without page reload</t>
        </is>
      </c>
      <c r="K6" s="24" t="inlineStr">
        <is>
          <t>As expected</t>
        </is>
      </c>
      <c r="L6" s="25" t="inlineStr">
        <is>
          <t>Pass</t>
        </is>
      </c>
      <c r="M6" s="23" t="inlineStr">
        <is>
          <t>Automated</t>
        </is>
      </c>
    </row>
    <row r="7">
      <c r="A7" s="26" t="inlineStr">
        <is>
          <t>TC_LOG_006</t>
        </is>
      </c>
      <c r="B7" s="27" t="inlineStr">
        <is>
          <t>Authentication</t>
        </is>
      </c>
      <c r="C7" s="28" t="inlineStr">
        <is>
          <t>Donor Login &amp; Auth</t>
        </is>
      </c>
      <c r="D7" s="26" t="inlineStr">
        <is>
          <t>P0 - Critical</t>
        </is>
      </c>
      <c r="E7" s="27" t="inlineStr">
        <is>
          <t>Functional</t>
        </is>
      </c>
      <c r="F7" s="28" t="inlineStr">
        <is>
          <t>Donor Login - Donor Persistent Role Choice</t>
        </is>
      </c>
      <c r="G7" s="28" t="inlineStr">
        <is>
          <t>SHAREBITE app active on http://localhost:5173/login</t>
        </is>
      </c>
      <c r="H7" s="28" t="inlineStr">
        <is>
          <t>1. Navigate to /login. 2. Ensure Donor role is active. 3. Select Donor, refresh page. 4. Verify outcome.</t>
        </is>
      </c>
      <c r="I7" s="28" t="inlineStr">
        <is>
          <t>F5 Refresh</t>
        </is>
      </c>
      <c r="J7" s="28" t="inlineStr">
        <is>
          <t>Selected role remains Donor or defaults gracefully</t>
        </is>
      </c>
      <c r="K7" s="28" t="inlineStr">
        <is>
          <t>As expected</t>
        </is>
      </c>
      <c r="L7" s="25" t="inlineStr">
        <is>
          <t>Pass</t>
        </is>
      </c>
      <c r="M7" s="27" t="inlineStr">
        <is>
          <t>Automated</t>
        </is>
      </c>
    </row>
    <row r="8">
      <c r="A8" s="22" t="inlineStr">
        <is>
          <t>TC_LOG_007</t>
        </is>
      </c>
      <c r="B8" s="23" t="inlineStr">
        <is>
          <t>Authentication</t>
        </is>
      </c>
      <c r="C8" s="24" t="inlineStr">
        <is>
          <t>Donor Login &amp; Auth</t>
        </is>
      </c>
      <c r="D8" s="22" t="inlineStr">
        <is>
          <t>P0 - Critical</t>
        </is>
      </c>
      <c r="E8" s="23" t="inlineStr">
        <is>
          <t>Functional</t>
        </is>
      </c>
      <c r="F8" s="24" t="inlineStr">
        <is>
          <t>Donor Login - Donor Password Field Masking</t>
        </is>
      </c>
      <c r="G8" s="24" t="inlineStr">
        <is>
          <t>SHAREBITE app active on http://localhost:5173/login</t>
        </is>
      </c>
      <c r="H8" s="24" t="inlineStr">
        <is>
          <t>1. Navigate to /login. 2. Ensure Donor role is active. 3. Enter password in Donor mode. 4. Verify outcome.</t>
        </is>
      </c>
      <c r="I8" s="24" t="inlineStr">
        <is>
          <t>SecretPass1!</t>
        </is>
      </c>
      <c r="J8" s="24" t="inlineStr">
        <is>
          <t>Input characters masked with dots/bullets</t>
        </is>
      </c>
      <c r="K8" s="24" t="inlineStr">
        <is>
          <t>As expected</t>
        </is>
      </c>
      <c r="L8" s="25" t="inlineStr">
        <is>
          <t>Pass</t>
        </is>
      </c>
      <c r="M8" s="23" t="inlineStr">
        <is>
          <t>Automated</t>
        </is>
      </c>
    </row>
    <row r="9">
      <c r="A9" s="26" t="inlineStr">
        <is>
          <t>TC_LOG_008</t>
        </is>
      </c>
      <c r="B9" s="27" t="inlineStr">
        <is>
          <t>Authentication</t>
        </is>
      </c>
      <c r="C9" s="28" t="inlineStr">
        <is>
          <t>Donor Login &amp; Auth</t>
        </is>
      </c>
      <c r="D9" s="26" t="inlineStr">
        <is>
          <t>P0 - Critical</t>
        </is>
      </c>
      <c r="E9" s="27" t="inlineStr">
        <is>
          <t>Functional</t>
        </is>
      </c>
      <c r="F9" s="28" t="inlineStr">
        <is>
          <t>Donor Login - Donor Form Submission with Enter Key</t>
        </is>
      </c>
      <c r="G9" s="28" t="inlineStr">
        <is>
          <t>SHAREBITE app active on http://localhost:5173/login</t>
        </is>
      </c>
      <c r="H9" s="28" t="inlineStr">
        <is>
          <t>1. Navigate to /login. 2. Ensure Donor role is active. 3. Focus password field and press Enter. 4. Verify outcome.</t>
        </is>
      </c>
      <c r="I9" s="28" t="inlineStr">
        <is>
          <t>Enter key on password input</t>
        </is>
      </c>
      <c r="J9" s="28" t="inlineStr">
        <is>
          <t>Form submits identical to clicking Submit button</t>
        </is>
      </c>
      <c r="K9" s="28" t="inlineStr">
        <is>
          <t>As expected</t>
        </is>
      </c>
      <c r="L9" s="25" t="inlineStr">
        <is>
          <t>Pass</t>
        </is>
      </c>
      <c r="M9" s="27" t="inlineStr">
        <is>
          <t>Automated</t>
        </is>
      </c>
    </row>
    <row r="10">
      <c r="A10" s="22" t="inlineStr">
        <is>
          <t>TC_LOG_009</t>
        </is>
      </c>
      <c r="B10" s="23" t="inlineStr">
        <is>
          <t>Authentication</t>
        </is>
      </c>
      <c r="C10" s="24" t="inlineStr">
        <is>
          <t>Donor Login &amp; Auth</t>
        </is>
      </c>
      <c r="D10" s="22" t="inlineStr">
        <is>
          <t>P0 - Critical</t>
        </is>
      </c>
      <c r="E10" s="23" t="inlineStr">
        <is>
          <t>Functional</t>
        </is>
      </c>
      <c r="F10" s="24" t="inlineStr">
        <is>
          <t>Donor Login - Donor Login - Empty Email</t>
        </is>
      </c>
      <c r="G10" s="24" t="inlineStr">
        <is>
          <t>SHAREBITE app active on http://localhost:5173/login</t>
        </is>
      </c>
      <c r="H10" s="24" t="inlineStr">
        <is>
          <t>1. Navigate to /login. 2. Ensure Donor role is active. 3. Leave email empty in Donor form. 4. Verify outcome.</t>
        </is>
      </c>
      <c r="I10" s="24" t="inlineStr">
        <is>
          <t>Password filled, Email blank</t>
        </is>
      </c>
      <c r="J10" s="24" t="inlineStr">
        <is>
          <t>Browser html5 validation requires email field</t>
        </is>
      </c>
      <c r="K10" s="24" t="inlineStr">
        <is>
          <t>As expected</t>
        </is>
      </c>
      <c r="L10" s="25" t="inlineStr">
        <is>
          <t>Pass</t>
        </is>
      </c>
      <c r="M10" s="23" t="inlineStr">
        <is>
          <t>Automated</t>
        </is>
      </c>
    </row>
    <row r="11">
      <c r="A11" s="26" t="inlineStr">
        <is>
          <t>TC_LOG_010</t>
        </is>
      </c>
      <c r="B11" s="27" t="inlineStr">
        <is>
          <t>Authentication</t>
        </is>
      </c>
      <c r="C11" s="28" t="inlineStr">
        <is>
          <t>Donor Login &amp; Auth</t>
        </is>
      </c>
      <c r="D11" s="26" t="inlineStr">
        <is>
          <t>P0 - Critical</t>
        </is>
      </c>
      <c r="E11" s="27" t="inlineStr">
        <is>
          <t>Functional</t>
        </is>
      </c>
      <c r="F11" s="28" t="inlineStr">
        <is>
          <t>Donor Login - Donor Login - Empty Password</t>
        </is>
      </c>
      <c r="G11" s="28" t="inlineStr">
        <is>
          <t>SHAREBITE app active on http://localhost:5173/login</t>
        </is>
      </c>
      <c r="H11" s="28" t="inlineStr">
        <is>
          <t>1. Navigate to /login. 2. Ensure Donor role is active. 3. Leave password empty in Donor form. 4. Verify outcome.</t>
        </is>
      </c>
      <c r="I11" s="28" t="inlineStr">
        <is>
          <t>Email filled, Password blank</t>
        </is>
      </c>
      <c r="J11" s="28" t="inlineStr">
        <is>
          <t>Browser html5 validation requires password field</t>
        </is>
      </c>
      <c r="K11" s="28" t="inlineStr">
        <is>
          <t>As expected</t>
        </is>
      </c>
      <c r="L11" s="25" t="inlineStr">
        <is>
          <t>Pass</t>
        </is>
      </c>
      <c r="M11" s="27" t="inlineStr">
        <is>
          <t>Automated</t>
        </is>
      </c>
    </row>
    <row r="12">
      <c r="A12" s="22" t="inlineStr">
        <is>
          <t>TC_LOG_011</t>
        </is>
      </c>
      <c r="B12" s="23" t="inlineStr">
        <is>
          <t>Authentication</t>
        </is>
      </c>
      <c r="C12" s="24" t="inlineStr">
        <is>
          <t>Donor Login &amp; Auth</t>
        </is>
      </c>
      <c r="D12" s="22" t="inlineStr">
        <is>
          <t>P0 - Critical</t>
        </is>
      </c>
      <c r="E12" s="23" t="inlineStr">
        <is>
          <t>Functional</t>
        </is>
      </c>
      <c r="F12" s="24" t="inlineStr">
        <is>
          <t>Donor Login - Donor Login - Trim Whitespaces</t>
        </is>
      </c>
      <c r="G12" s="24" t="inlineStr">
        <is>
          <t>SHAREBITE app active on http://localhost:5173/login</t>
        </is>
      </c>
      <c r="H12" s="24" t="inlineStr">
        <is>
          <t>1. Navigate to /login. 2. Ensure Donor role is active. 3. Enter donor email with leading/trailing spaces. 4. Verify outcome.</t>
        </is>
      </c>
      <c r="I12" s="24" t="inlineStr">
        <is>
          <t xml:space="preserve">  donor@sharebite.org  </t>
        </is>
      </c>
      <c r="J12" s="24" t="inlineStr">
        <is>
          <t>Spaces trimmed before authentication request</t>
        </is>
      </c>
      <c r="K12" s="24" t="inlineStr">
        <is>
          <t>As expected</t>
        </is>
      </c>
      <c r="L12" s="25" t="inlineStr">
        <is>
          <t>Pass</t>
        </is>
      </c>
      <c r="M12" s="23" t="inlineStr">
        <is>
          <t>Automated</t>
        </is>
      </c>
    </row>
    <row r="13">
      <c r="A13" s="26" t="inlineStr">
        <is>
          <t>TC_LOG_012</t>
        </is>
      </c>
      <c r="B13" s="27" t="inlineStr">
        <is>
          <t>Authentication</t>
        </is>
      </c>
      <c r="C13" s="28" t="inlineStr">
        <is>
          <t>Donor Login &amp; Auth</t>
        </is>
      </c>
      <c r="D13" s="26" t="inlineStr">
        <is>
          <t>P0 - Critical</t>
        </is>
      </c>
      <c r="E13" s="27" t="inlineStr">
        <is>
          <t>Functional</t>
        </is>
      </c>
      <c r="F13" s="28" t="inlineStr">
        <is>
          <t>Donor Login - Donor Login - Case Insensitive Email</t>
        </is>
      </c>
      <c r="G13" s="28" t="inlineStr">
        <is>
          <t>SHAREBITE app active on http://localhost:5173/login</t>
        </is>
      </c>
      <c r="H13" s="28" t="inlineStr">
        <is>
          <t>1. Navigate to /login. 2. Ensure Donor role is active. 3. Enter email in UPPERCASE. 4. Verify outcome.</t>
        </is>
      </c>
      <c r="I13" s="28" t="inlineStr">
        <is>
          <t>DONOR@SHAREBITE.ORG</t>
        </is>
      </c>
      <c r="J13" s="28" t="inlineStr">
        <is>
          <t>Email normalized to lowercase and authenticated successfully</t>
        </is>
      </c>
      <c r="K13" s="28" t="inlineStr">
        <is>
          <t>As expected</t>
        </is>
      </c>
      <c r="L13" s="25" t="inlineStr">
        <is>
          <t>Pass</t>
        </is>
      </c>
      <c r="M13" s="27" t="inlineStr">
        <is>
          <t>Automated</t>
        </is>
      </c>
    </row>
    <row r="14">
      <c r="A14" s="22" t="inlineStr">
        <is>
          <t>TC_LOG_013</t>
        </is>
      </c>
      <c r="B14" s="23" t="inlineStr">
        <is>
          <t>Authentication</t>
        </is>
      </c>
      <c r="C14" s="24" t="inlineStr">
        <is>
          <t>Donor Login &amp; Auth</t>
        </is>
      </c>
      <c r="D14" s="22" t="inlineStr">
        <is>
          <t>P0 - Critical</t>
        </is>
      </c>
      <c r="E14" s="23" t="inlineStr">
        <is>
          <t>Functional</t>
        </is>
      </c>
      <c r="F14" s="24" t="inlineStr">
        <is>
          <t>Donor Login - Donor Login - Invalid Password</t>
        </is>
      </c>
      <c r="G14" s="24" t="inlineStr">
        <is>
          <t>SHAREBITE app active on http://localhost:5173/login</t>
        </is>
      </c>
      <c r="H14" s="24" t="inlineStr">
        <is>
          <t>1. Navigate to /login. 2. Ensure Donor role is active. 3. Enter correct donor email with invalid password. 4. Verify outcome.</t>
        </is>
      </c>
      <c r="I14" s="24" t="inlineStr">
        <is>
          <t>donor@sharebite.org / WrongPass</t>
        </is>
      </c>
      <c r="J14" s="24" t="inlineStr">
        <is>
          <t>Error message 'Invalid email or password' displayed</t>
        </is>
      </c>
      <c r="K14" s="24" t="inlineStr">
        <is>
          <t>As expected</t>
        </is>
      </c>
      <c r="L14" s="25" t="inlineStr">
        <is>
          <t>Pass</t>
        </is>
      </c>
      <c r="M14" s="23" t="inlineStr">
        <is>
          <t>Automated</t>
        </is>
      </c>
    </row>
    <row r="15">
      <c r="A15" s="26" t="inlineStr">
        <is>
          <t>TC_LOG_014</t>
        </is>
      </c>
      <c r="B15" s="27" t="inlineStr">
        <is>
          <t>Authentication</t>
        </is>
      </c>
      <c r="C15" s="28" t="inlineStr">
        <is>
          <t>Donor Login &amp; Auth</t>
        </is>
      </c>
      <c r="D15" s="26" t="inlineStr">
        <is>
          <t>P0 - Critical</t>
        </is>
      </c>
      <c r="E15" s="27" t="inlineStr">
        <is>
          <t>Functional</t>
        </is>
      </c>
      <c r="F15" s="28" t="inlineStr">
        <is>
          <t>Donor Login - Donor Login - Non-existent Account</t>
        </is>
      </c>
      <c r="G15" s="28" t="inlineStr">
        <is>
          <t>SHAREBITE app active on http://localhost:5173/login</t>
        </is>
      </c>
      <c r="H15" s="28" t="inlineStr">
        <is>
          <t>1. Navigate to /login. 2. Ensure Donor role is active. 3. Enter unregistered donor email. 4. Verify outcome.</t>
        </is>
      </c>
      <c r="I15" s="28" t="inlineStr">
        <is>
          <t>notfound_donor@test.com / password</t>
        </is>
      </c>
      <c r="J15" s="28" t="inlineStr">
        <is>
          <t>Error banner indicates account not found</t>
        </is>
      </c>
      <c r="K15" s="28" t="inlineStr">
        <is>
          <t>As expected</t>
        </is>
      </c>
      <c r="L15" s="25" t="inlineStr">
        <is>
          <t>Pass</t>
        </is>
      </c>
      <c r="M15" s="27" t="inlineStr">
        <is>
          <t>Automated</t>
        </is>
      </c>
    </row>
    <row r="16">
      <c r="A16" s="22" t="inlineStr">
        <is>
          <t>TC_LOG_015</t>
        </is>
      </c>
      <c r="B16" s="23" t="inlineStr">
        <is>
          <t>Authentication</t>
        </is>
      </c>
      <c r="C16" s="24" t="inlineStr">
        <is>
          <t>Donor Login &amp; Auth</t>
        </is>
      </c>
      <c r="D16" s="22" t="inlineStr">
        <is>
          <t>P0 - Critical</t>
        </is>
      </c>
      <c r="E16" s="23" t="inlineStr">
        <is>
          <t>Functional</t>
        </is>
      </c>
      <c r="F16" s="24" t="inlineStr">
        <is>
          <t>Donor Login - Donor Quick Re-login</t>
        </is>
      </c>
      <c r="G16" s="24" t="inlineStr">
        <is>
          <t>SHAREBITE app active on http://localhost:5173/login</t>
        </is>
      </c>
      <c r="H16" s="24" t="inlineStr">
        <is>
          <t>1. Navigate to /login. 2. Ensure Donor role is active. 3. Logout and immediately re-login as donor. 4. Verify outcome.</t>
        </is>
      </c>
      <c r="I16" s="24" t="inlineStr">
        <is>
          <t>Quick re-login flow</t>
        </is>
      </c>
      <c r="J16" s="24" t="inlineStr">
        <is>
          <t>Successful authentication without residual session locks</t>
        </is>
      </c>
      <c r="K16" s="24" t="inlineStr">
        <is>
          <t>As expected</t>
        </is>
      </c>
      <c r="L16" s="25" t="inlineStr">
        <is>
          <t>Pass</t>
        </is>
      </c>
      <c r="M16" s="23" t="inlineStr">
        <is>
          <t>Automated</t>
        </is>
      </c>
    </row>
    <row r="17">
      <c r="A17" s="26" t="inlineStr">
        <is>
          <t>TC_LOG_016</t>
        </is>
      </c>
      <c r="B17" s="27" t="inlineStr">
        <is>
          <t>Authentication</t>
        </is>
      </c>
      <c r="C17" s="28" t="inlineStr">
        <is>
          <t>Donor Login &amp; Auth</t>
        </is>
      </c>
      <c r="D17" s="26" t="inlineStr">
        <is>
          <t>P1 - High</t>
        </is>
      </c>
      <c r="E17" s="27" t="inlineStr">
        <is>
          <t>Functional</t>
        </is>
      </c>
      <c r="F17" s="28" t="inlineStr">
        <is>
          <t>Donor Login - Donor Dashboard Navigation Bar</t>
        </is>
      </c>
      <c r="G17" s="28" t="inlineStr">
        <is>
          <t>SHAREBITE app active on http://localhost:5173/login</t>
        </is>
      </c>
      <c r="H17" s="28" t="inlineStr">
        <is>
          <t>1. Navigate to /login. 2. Ensure Donor role is active. 3. Verify nav bar after Donor login. 4. Verify outcome.</t>
        </is>
      </c>
      <c r="I17" s="28" t="inlineStr">
        <is>
          <t>Authenticated Donor session</t>
        </is>
      </c>
      <c r="J17" s="28" t="inlineStr">
        <is>
          <t>Nav contains 'List Food', 'My Donations', 'Profile', 'Logout'</t>
        </is>
      </c>
      <c r="K17" s="28" t="inlineStr">
        <is>
          <t>As expected</t>
        </is>
      </c>
      <c r="L17" s="25" t="inlineStr">
        <is>
          <t>Pass</t>
        </is>
      </c>
      <c r="M17" s="27" t="inlineStr">
        <is>
          <t>Automated</t>
        </is>
      </c>
    </row>
    <row r="18">
      <c r="A18" s="22" t="inlineStr">
        <is>
          <t>TC_LOG_017</t>
        </is>
      </c>
      <c r="B18" s="23" t="inlineStr">
        <is>
          <t>Authentication</t>
        </is>
      </c>
      <c r="C18" s="24" t="inlineStr">
        <is>
          <t>Donor Login &amp; Auth</t>
        </is>
      </c>
      <c r="D18" s="22" t="inlineStr">
        <is>
          <t>P1 - High</t>
        </is>
      </c>
      <c r="E18" s="23" t="inlineStr">
        <is>
          <t>Functional</t>
        </is>
      </c>
      <c r="F18" s="24" t="inlineStr">
        <is>
          <t>Donor Login - Donor Create Listing Shortcut</t>
        </is>
      </c>
      <c r="G18" s="24" t="inlineStr">
        <is>
          <t>SHAREBITE app active on http://localhost:5173/login</t>
        </is>
      </c>
      <c r="H18" s="24" t="inlineStr">
        <is>
          <t>1. Navigate to /login. 2. Ensure Donor role is active. 3. Click 'List Surplus Food' button. 4. Verify outcome.</t>
        </is>
      </c>
      <c r="I18" s="24" t="inlineStr">
        <is>
          <t>Donor Dashboard active</t>
        </is>
      </c>
      <c r="J18" s="24" t="inlineStr">
        <is>
          <t>Navigates to food listing creation drawer/modal</t>
        </is>
      </c>
      <c r="K18" s="24" t="inlineStr">
        <is>
          <t>As expected</t>
        </is>
      </c>
      <c r="L18" s="25" t="inlineStr">
        <is>
          <t>Pass</t>
        </is>
      </c>
      <c r="M18" s="23" t="inlineStr">
        <is>
          <t>Automated</t>
        </is>
      </c>
    </row>
    <row r="19">
      <c r="A19" s="26" t="inlineStr">
        <is>
          <t>TC_LOG_018</t>
        </is>
      </c>
      <c r="B19" s="27" t="inlineStr">
        <is>
          <t>Authentication</t>
        </is>
      </c>
      <c r="C19" s="28" t="inlineStr">
        <is>
          <t>Donor Login &amp; Auth</t>
        </is>
      </c>
      <c r="D19" s="26" t="inlineStr">
        <is>
          <t>P1 - High</t>
        </is>
      </c>
      <c r="E19" s="27" t="inlineStr">
        <is>
          <t>Functional</t>
        </is>
      </c>
      <c r="F19" s="28" t="inlineStr">
        <is>
          <t>Donor Login - Donor Profile View</t>
        </is>
      </c>
      <c r="G19" s="28" t="inlineStr">
        <is>
          <t>SHAREBITE app active on http://localhost:5173/login</t>
        </is>
      </c>
      <c r="H19" s="28" t="inlineStr">
        <is>
          <t>1. Navigate to /login. 2. Ensure Donor role is active. 3. Click profile avatar in Donor header. 4. Verify outcome.</t>
        </is>
      </c>
      <c r="I19" s="28" t="inlineStr">
        <is>
          <t>Donor Dashboard active</t>
        </is>
      </c>
      <c r="J19" s="28" t="inlineStr">
        <is>
          <t>Profile side panel opens showing organization details</t>
        </is>
      </c>
      <c r="K19" s="28" t="inlineStr">
        <is>
          <t>As expected</t>
        </is>
      </c>
      <c r="L19" s="25" t="inlineStr">
        <is>
          <t>Pass</t>
        </is>
      </c>
      <c r="M19" s="27" t="inlineStr">
        <is>
          <t>Automated</t>
        </is>
      </c>
    </row>
    <row r="20">
      <c r="A20" s="22" t="inlineStr">
        <is>
          <t>TC_LOG_019</t>
        </is>
      </c>
      <c r="B20" s="23" t="inlineStr">
        <is>
          <t>Authentication</t>
        </is>
      </c>
      <c r="C20" s="24" t="inlineStr">
        <is>
          <t>Donor Login &amp; Auth</t>
        </is>
      </c>
      <c r="D20" s="22" t="inlineStr">
        <is>
          <t>P1 - High</t>
        </is>
      </c>
      <c r="E20" s="23" t="inlineStr">
        <is>
          <t>Functional</t>
        </is>
      </c>
      <c r="F20" s="24" t="inlineStr">
        <is>
          <t>Donor Login - Donor Account Remember Me Check</t>
        </is>
      </c>
      <c r="G20" s="24" t="inlineStr">
        <is>
          <t>SHAREBITE app active on http://localhost:5173/login</t>
        </is>
      </c>
      <c r="H20" s="24" t="inlineStr">
        <is>
          <t>1. Navigate to /login. 2. Ensure Donor role is active. 3. Check remember credentials option. 4. Verify outcome.</t>
        </is>
      </c>
      <c r="I20" s="24" t="inlineStr">
        <is>
          <t>Donor login form</t>
        </is>
      </c>
      <c r="J20" s="24" t="inlineStr">
        <is>
          <t>Credentials remembered across browser sessions</t>
        </is>
      </c>
      <c r="K20" s="24" t="inlineStr">
        <is>
          <t>As expected</t>
        </is>
      </c>
      <c r="L20" s="25" t="inlineStr">
        <is>
          <t>Pass</t>
        </is>
      </c>
      <c r="M20" s="23" t="inlineStr">
        <is>
          <t>Automated</t>
        </is>
      </c>
    </row>
    <row r="21">
      <c r="A21" s="26" t="inlineStr">
        <is>
          <t>TC_LOG_020</t>
        </is>
      </c>
      <c r="B21" s="27" t="inlineStr">
        <is>
          <t>Authentication</t>
        </is>
      </c>
      <c r="C21" s="28" t="inlineStr">
        <is>
          <t>Donor Login &amp; Auth</t>
        </is>
      </c>
      <c r="D21" s="26" t="inlineStr">
        <is>
          <t>P1 - High</t>
        </is>
      </c>
      <c r="E21" s="27" t="inlineStr">
        <is>
          <t>Functional</t>
        </is>
      </c>
      <c r="F21" s="28" t="inlineStr">
        <is>
          <t>Donor Login - Donor Session Cookie Creation</t>
        </is>
      </c>
      <c r="G21" s="28" t="inlineStr">
        <is>
          <t>SHAREBITE app active on http://localhost:5173/login</t>
        </is>
      </c>
      <c r="H21" s="28" t="inlineStr">
        <is>
          <t>1. Navigate to /login. 2. Ensure Donor role is active. 3. Inspect cookies post donor login. 4. Verify outcome.</t>
        </is>
      </c>
      <c r="I21" s="28" t="inlineStr">
        <is>
          <t>DevTools Application tab</t>
        </is>
      </c>
      <c r="J21" s="28" t="inlineStr">
        <is>
          <t>Secure session cookie / token set in storage</t>
        </is>
      </c>
      <c r="K21" s="28" t="inlineStr">
        <is>
          <t>As expected</t>
        </is>
      </c>
      <c r="L21" s="25" t="inlineStr">
        <is>
          <t>Pass</t>
        </is>
      </c>
      <c r="M21" s="27" t="inlineStr">
        <is>
          <t>Automated</t>
        </is>
      </c>
    </row>
    <row r="22">
      <c r="A22" s="22" t="inlineStr">
        <is>
          <t>TC_LOG_021</t>
        </is>
      </c>
      <c r="B22" s="23" t="inlineStr">
        <is>
          <t>Authentication</t>
        </is>
      </c>
      <c r="C22" s="24" t="inlineStr">
        <is>
          <t>Donor Login &amp; Auth</t>
        </is>
      </c>
      <c r="D22" s="22" t="inlineStr">
        <is>
          <t>P1 - High</t>
        </is>
      </c>
      <c r="E22" s="23" t="inlineStr">
        <is>
          <t>UI/UX</t>
        </is>
      </c>
      <c r="F22" s="24" t="inlineStr">
        <is>
          <t>Donor Login - Donor Dashboard Responsive View</t>
        </is>
      </c>
      <c r="G22" s="24" t="inlineStr">
        <is>
          <t>SHAREBITE app active on http://localhost:5173/login</t>
        </is>
      </c>
      <c r="H22" s="24" t="inlineStr">
        <is>
          <t>1. Navigate to /login. 2. Ensure Donor role is active. 3. Resize window to 375x667 on Donor dashboard. 4. Verify outcome.</t>
        </is>
      </c>
      <c r="I22" s="24" t="inlineStr">
        <is>
          <t>Mobile viewport</t>
        </is>
      </c>
      <c r="J22" s="24" t="inlineStr">
        <is>
          <t>Layout stacks vertically with accessible mobile hamburger menu</t>
        </is>
      </c>
      <c r="K22" s="24" t="inlineStr">
        <is>
          <t>As expected</t>
        </is>
      </c>
      <c r="L22" s="25" t="inlineStr">
        <is>
          <t>Pass</t>
        </is>
      </c>
      <c r="M22" s="23" t="inlineStr">
        <is>
          <t>Manual</t>
        </is>
      </c>
    </row>
    <row r="23">
      <c r="A23" s="26" t="inlineStr">
        <is>
          <t>TC_LOG_022</t>
        </is>
      </c>
      <c r="B23" s="27" t="inlineStr">
        <is>
          <t>Authentication</t>
        </is>
      </c>
      <c r="C23" s="28" t="inlineStr">
        <is>
          <t>Donor Login &amp; Auth</t>
        </is>
      </c>
      <c r="D23" s="26" t="inlineStr">
        <is>
          <t>P1 - High</t>
        </is>
      </c>
      <c r="E23" s="27" t="inlineStr">
        <is>
          <t>UI/UX</t>
        </is>
      </c>
      <c r="F23" s="28" t="inlineStr">
        <is>
          <t>Donor Login - Donor Dark Mode Toggle</t>
        </is>
      </c>
      <c r="G23" s="28" t="inlineStr">
        <is>
          <t>SHAREBITE app active on http://localhost:5173/login</t>
        </is>
      </c>
      <c r="H23" s="28" t="inlineStr">
        <is>
          <t>1. Navigate to /login. 2. Ensure Donor role is active. 3. Toggle dark theme on Donor dashboard. 4. Verify outcome.</t>
        </is>
      </c>
      <c r="I23" s="28" t="inlineStr">
        <is>
          <t>Theme switcher clicked</t>
        </is>
      </c>
      <c r="J23" s="28" t="inlineStr">
        <is>
          <t>UI color palette changes to dark slate theme</t>
        </is>
      </c>
      <c r="K23" s="28" t="inlineStr">
        <is>
          <t>As expected</t>
        </is>
      </c>
      <c r="L23" s="25" t="inlineStr">
        <is>
          <t>Pass</t>
        </is>
      </c>
      <c r="M23" s="27" t="inlineStr">
        <is>
          <t>Manual</t>
        </is>
      </c>
    </row>
    <row r="24">
      <c r="A24" s="22" t="inlineStr">
        <is>
          <t>TC_LOG_023</t>
        </is>
      </c>
      <c r="B24" s="23" t="inlineStr">
        <is>
          <t>Authentication</t>
        </is>
      </c>
      <c r="C24" s="24" t="inlineStr">
        <is>
          <t>Donor Login &amp; Auth</t>
        </is>
      </c>
      <c r="D24" s="22" t="inlineStr">
        <is>
          <t>P1 - High</t>
        </is>
      </c>
      <c r="E24" s="23" t="inlineStr">
        <is>
          <t>UI/UX</t>
        </is>
      </c>
      <c r="F24" s="24" t="inlineStr">
        <is>
          <t>Donor Login - Donor Notification Badge</t>
        </is>
      </c>
      <c r="G24" s="24" t="inlineStr">
        <is>
          <t>SHAREBITE app active on http://localhost:5173/login</t>
        </is>
      </c>
      <c r="H24" s="24" t="inlineStr">
        <is>
          <t>1. Navigate to /login. 2. Ensure Donor role is active. 3. Check active notifications icon. 4. Verify outcome.</t>
        </is>
      </c>
      <c r="I24" s="24" t="inlineStr">
        <is>
          <t>Donor header</t>
        </is>
      </c>
      <c r="J24" s="24" t="inlineStr">
        <is>
          <t>Unread claim notifications count displayed correctly</t>
        </is>
      </c>
      <c r="K24" s="24" t="inlineStr">
        <is>
          <t>As expected</t>
        </is>
      </c>
      <c r="L24" s="25" t="inlineStr">
        <is>
          <t>Pass</t>
        </is>
      </c>
      <c r="M24" s="23" t="inlineStr">
        <is>
          <t>Manual</t>
        </is>
      </c>
    </row>
    <row r="25">
      <c r="A25" s="26" t="inlineStr">
        <is>
          <t>TC_LOG_024</t>
        </is>
      </c>
      <c r="B25" s="27" t="inlineStr">
        <is>
          <t>Authentication</t>
        </is>
      </c>
      <c r="C25" s="28" t="inlineStr">
        <is>
          <t>Donor Login &amp; Auth</t>
        </is>
      </c>
      <c r="D25" s="26" t="inlineStr">
        <is>
          <t>P1 - High</t>
        </is>
      </c>
      <c r="E25" s="27" t="inlineStr">
        <is>
          <t>UI/UX</t>
        </is>
      </c>
      <c r="F25" s="28" t="inlineStr">
        <is>
          <t>Donor Login - Donor Food Claim Alerts</t>
        </is>
      </c>
      <c r="G25" s="28" t="inlineStr">
        <is>
          <t>SHAREBITE app active on http://localhost:5173/login</t>
        </is>
      </c>
      <c r="H25" s="28" t="inlineStr">
        <is>
          <t>1. Navigate to /login. 2. Ensure Donor role is active. 3. Verify claim notification popup. 4. Verify outcome.</t>
        </is>
      </c>
      <c r="I25" s="28" t="inlineStr">
        <is>
          <t>Receiver claims item</t>
        </is>
      </c>
      <c r="J25" s="28" t="inlineStr">
        <is>
          <t>Real-time toast notification appears for Donor</t>
        </is>
      </c>
      <c r="K25" s="28" t="inlineStr">
        <is>
          <t>As expected</t>
        </is>
      </c>
      <c r="L25" s="25" t="inlineStr">
        <is>
          <t>Pass</t>
        </is>
      </c>
      <c r="M25" s="27" t="inlineStr">
        <is>
          <t>Manual</t>
        </is>
      </c>
    </row>
    <row r="26">
      <c r="A26" s="22" t="inlineStr">
        <is>
          <t>TC_LOG_025</t>
        </is>
      </c>
      <c r="B26" s="23" t="inlineStr">
        <is>
          <t>Authentication</t>
        </is>
      </c>
      <c r="C26" s="24" t="inlineStr">
        <is>
          <t>Donor Login &amp; Auth</t>
        </is>
      </c>
      <c r="D26" s="22" t="inlineStr">
        <is>
          <t>P1 - High</t>
        </is>
      </c>
      <c r="E26" s="23" t="inlineStr">
        <is>
          <t>UI/UX</t>
        </is>
      </c>
      <c r="F26" s="24" t="inlineStr">
        <is>
          <t>Donor Login - Donor History Pagination</t>
        </is>
      </c>
      <c r="G26" s="24" t="inlineStr">
        <is>
          <t>SHAREBITE app active on http://localhost:5173/login</t>
        </is>
      </c>
      <c r="H26" s="24" t="inlineStr">
        <is>
          <t>1. Navigate to /login. 2. Ensure Donor role is active. 3. Navigate past donation history pages. 4. Verify outcome.</t>
        </is>
      </c>
      <c r="I26" s="24" t="inlineStr">
        <is>
          <t>Page 2 button click</t>
        </is>
      </c>
      <c r="J26" s="24" t="inlineStr">
        <is>
          <t>Table updates to show items 11-20</t>
        </is>
      </c>
      <c r="K26" s="24" t="inlineStr">
        <is>
          <t>As expected</t>
        </is>
      </c>
      <c r="L26" s="25" t="inlineStr">
        <is>
          <t>Pass</t>
        </is>
      </c>
      <c r="M26" s="23" t="inlineStr">
        <is>
          <t>Manual</t>
        </is>
      </c>
    </row>
    <row r="27">
      <c r="A27" s="26" t="inlineStr">
        <is>
          <t>TC_LOG_026</t>
        </is>
      </c>
      <c r="B27" s="27" t="inlineStr">
        <is>
          <t>Authentication</t>
        </is>
      </c>
      <c r="C27" s="28" t="inlineStr">
        <is>
          <t>Donor Login &amp; Auth</t>
        </is>
      </c>
      <c r="D27" s="26" t="inlineStr">
        <is>
          <t>P1 - High</t>
        </is>
      </c>
      <c r="E27" s="27" t="inlineStr">
        <is>
          <t>UI/UX</t>
        </is>
      </c>
      <c r="F27" s="28" t="inlineStr">
        <is>
          <t>Donor Login - Donor Filter Donations by Status</t>
        </is>
      </c>
      <c r="G27" s="28" t="inlineStr">
        <is>
          <t>SHAREBITE app active on http://localhost:5173/login</t>
        </is>
      </c>
      <c r="H27" s="28" t="inlineStr">
        <is>
          <t>1. Navigate to /login. 2. Ensure Donor role is active. 3. Filter history by 'Completed'. 4. Verify outcome.</t>
        </is>
      </c>
      <c r="I27" s="28" t="inlineStr">
        <is>
          <t>Status filter dropdown</t>
        </is>
      </c>
      <c r="J27" s="28" t="inlineStr">
        <is>
          <t>Table shows only completed food donations</t>
        </is>
      </c>
      <c r="K27" s="28" t="inlineStr">
        <is>
          <t>As expected</t>
        </is>
      </c>
      <c r="L27" s="25" t="inlineStr">
        <is>
          <t>Pass</t>
        </is>
      </c>
      <c r="M27" s="27" t="inlineStr">
        <is>
          <t>Manual</t>
        </is>
      </c>
    </row>
    <row r="28">
      <c r="A28" s="22" t="inlineStr">
        <is>
          <t>TC_LOG_027</t>
        </is>
      </c>
      <c r="B28" s="23" t="inlineStr">
        <is>
          <t>Authentication</t>
        </is>
      </c>
      <c r="C28" s="24" t="inlineStr">
        <is>
          <t>Donor Login &amp; Auth</t>
        </is>
      </c>
      <c r="D28" s="22" t="inlineStr">
        <is>
          <t>P1 - High</t>
        </is>
      </c>
      <c r="E28" s="23" t="inlineStr">
        <is>
          <t>UI/UX</t>
        </is>
      </c>
      <c r="F28" s="24" t="inlineStr">
        <is>
          <t>Donor Login - Donor Search Donation History</t>
        </is>
      </c>
      <c r="G28" s="24" t="inlineStr">
        <is>
          <t>SHAREBITE app active on http://localhost:5173/login</t>
        </is>
      </c>
      <c r="H28" s="24" t="inlineStr">
        <is>
          <t>1. Navigate to /login. 2. Ensure Donor role is active. 3. Search history by item name 'Apples'. 4. Verify outcome.</t>
        </is>
      </c>
      <c r="I28" s="24" t="inlineStr">
        <is>
          <t>Search input 'Apples'</t>
        </is>
      </c>
      <c r="J28" s="24" t="inlineStr">
        <is>
          <t>Matching donation records displayed</t>
        </is>
      </c>
      <c r="K28" s="24" t="inlineStr">
        <is>
          <t>As expected</t>
        </is>
      </c>
      <c r="L28" s="25" t="inlineStr">
        <is>
          <t>Pass</t>
        </is>
      </c>
      <c r="M28" s="23" t="inlineStr">
        <is>
          <t>Manual</t>
        </is>
      </c>
    </row>
    <row r="29">
      <c r="A29" s="26" t="inlineStr">
        <is>
          <t>TC_LOG_028</t>
        </is>
      </c>
      <c r="B29" s="27" t="inlineStr">
        <is>
          <t>Authentication</t>
        </is>
      </c>
      <c r="C29" s="28" t="inlineStr">
        <is>
          <t>Donor Login &amp; Auth</t>
        </is>
      </c>
      <c r="D29" s="26" t="inlineStr">
        <is>
          <t>P1 - High</t>
        </is>
      </c>
      <c r="E29" s="27" t="inlineStr">
        <is>
          <t>UI/UX</t>
        </is>
      </c>
      <c r="F29" s="28" t="inlineStr">
        <is>
          <t>Donor Login - Donor Logout Execution</t>
        </is>
      </c>
      <c r="G29" s="28" t="inlineStr">
        <is>
          <t>SHAREBITE app active on http://localhost:5173/login</t>
        </is>
      </c>
      <c r="H29" s="28" t="inlineStr">
        <is>
          <t>1. Navigate to /login. 2. Ensure Donor role is active. 3. Click Logout button in Donor header. 4. Verify outcome.</t>
        </is>
      </c>
      <c r="I29" s="28" t="inlineStr">
        <is>
          <t>Active donor session</t>
        </is>
      </c>
      <c r="J29" s="28" t="inlineStr">
        <is>
          <t>Token cleared, user redirected to /login page</t>
        </is>
      </c>
      <c r="K29" s="28" t="inlineStr">
        <is>
          <t>As expected</t>
        </is>
      </c>
      <c r="L29" s="25" t="inlineStr">
        <is>
          <t>Pass</t>
        </is>
      </c>
      <c r="M29" s="27" t="inlineStr">
        <is>
          <t>Manual</t>
        </is>
      </c>
    </row>
    <row r="30">
      <c r="A30" s="22" t="inlineStr">
        <is>
          <t>TC_LOG_029</t>
        </is>
      </c>
      <c r="B30" s="23" t="inlineStr">
        <is>
          <t>Authentication</t>
        </is>
      </c>
      <c r="C30" s="24" t="inlineStr">
        <is>
          <t>Donor Login &amp; Auth</t>
        </is>
      </c>
      <c r="D30" s="22" t="inlineStr">
        <is>
          <t>P2 - Medium</t>
        </is>
      </c>
      <c r="E30" s="23" t="inlineStr">
        <is>
          <t>UI/UX</t>
        </is>
      </c>
      <c r="F30" s="24" t="inlineStr">
        <is>
          <t>Donor Login - Donor Back Button Post Logout</t>
        </is>
      </c>
      <c r="G30" s="24" t="inlineStr">
        <is>
          <t>SHAREBITE app active on http://localhost:5173/login</t>
        </is>
      </c>
      <c r="H30" s="24" t="inlineStr">
        <is>
          <t>1. Navigate to /login. 2. Ensure Donor role is active. 3. Click browser back after logout. 4. Verify outcome.</t>
        </is>
      </c>
      <c r="I30" s="24" t="inlineStr">
        <is>
          <t>History back button</t>
        </is>
      </c>
      <c r="J30" s="24" t="inlineStr">
        <is>
          <t>User remains on /login; restricted donor dashboard blocked</t>
        </is>
      </c>
      <c r="K30" s="24" t="inlineStr">
        <is>
          <t>As expected</t>
        </is>
      </c>
      <c r="L30" s="25" t="inlineStr">
        <is>
          <t>Pass</t>
        </is>
      </c>
      <c r="M30" s="23" t="inlineStr">
        <is>
          <t>Manual</t>
        </is>
      </c>
    </row>
    <row r="31">
      <c r="A31" s="26" t="inlineStr">
        <is>
          <t>TC_LOG_030</t>
        </is>
      </c>
      <c r="B31" s="27" t="inlineStr">
        <is>
          <t>Authentication</t>
        </is>
      </c>
      <c r="C31" s="28" t="inlineStr">
        <is>
          <t>Donor Login &amp; Auth</t>
        </is>
      </c>
      <c r="D31" s="26" t="inlineStr">
        <is>
          <t>P2 - Medium</t>
        </is>
      </c>
      <c r="E31" s="27" t="inlineStr">
        <is>
          <t>Security</t>
        </is>
      </c>
      <c r="F31" s="28" t="inlineStr">
        <is>
          <t>Donor Login - Donor Multi-tab Logout Sync</t>
        </is>
      </c>
      <c r="G31" s="28" t="inlineStr">
        <is>
          <t>SHAREBITE app active on http://localhost:5173/login</t>
        </is>
      </c>
      <c r="H31" s="28" t="inlineStr">
        <is>
          <t>1. Navigate to /login. 2. Ensure Donor role is active. 3. Logout from Tab 1 while Tab 2 open. 4. Verify outcome.</t>
        </is>
      </c>
      <c r="I31" s="28" t="inlineStr">
        <is>
          <t>Two browser tabs</t>
        </is>
      </c>
      <c r="J31" s="28" t="inlineStr">
        <is>
          <t>Tab 2 detects session termination and redirects to /login</t>
        </is>
      </c>
      <c r="K31" s="28" t="inlineStr">
        <is>
          <t>As expected</t>
        </is>
      </c>
      <c r="L31" s="25" t="inlineStr">
        <is>
          <t>Pass</t>
        </is>
      </c>
      <c r="M31" s="27" t="inlineStr">
        <is>
          <t>Manual</t>
        </is>
      </c>
    </row>
    <row r="32">
      <c r="A32" s="22" t="inlineStr">
        <is>
          <t>TC_LOG_031</t>
        </is>
      </c>
      <c r="B32" s="23" t="inlineStr">
        <is>
          <t>Authentication</t>
        </is>
      </c>
      <c r="C32" s="24" t="inlineStr">
        <is>
          <t>Donor Login &amp; Auth</t>
        </is>
      </c>
      <c r="D32" s="22" t="inlineStr">
        <is>
          <t>P2 - Medium</t>
        </is>
      </c>
      <c r="E32" s="23" t="inlineStr">
        <is>
          <t>UI/UX</t>
        </is>
      </c>
      <c r="F32" s="24" t="inlineStr">
        <is>
          <t>Donor Login - Donor Session Timeout</t>
        </is>
      </c>
      <c r="G32" s="24" t="inlineStr">
        <is>
          <t>SHAREBITE app active on http://localhost:5173/login</t>
        </is>
      </c>
      <c r="H32" s="24" t="inlineStr">
        <is>
          <t>1. Navigate to /login. 2. Ensure Donor role is active. 3. Leave session idle for configured max duration. 4. Verify outcome.</t>
        </is>
      </c>
      <c r="I32" s="24" t="inlineStr">
        <is>
          <t>Idle state</t>
        </is>
      </c>
      <c r="J32" s="24" t="inlineStr">
        <is>
          <t>Session expires automatically and prompts for re-login</t>
        </is>
      </c>
      <c r="K32" s="24" t="inlineStr">
        <is>
          <t>As expected</t>
        </is>
      </c>
      <c r="L32" s="25" t="inlineStr">
        <is>
          <t>Pass</t>
        </is>
      </c>
      <c r="M32" s="23" t="inlineStr">
        <is>
          <t>Manual</t>
        </is>
      </c>
    </row>
    <row r="33">
      <c r="A33" s="26" t="inlineStr">
        <is>
          <t>TC_LOG_032</t>
        </is>
      </c>
      <c r="B33" s="27" t="inlineStr">
        <is>
          <t>Authentication</t>
        </is>
      </c>
      <c r="C33" s="28" t="inlineStr">
        <is>
          <t>Donor Login &amp; Auth</t>
        </is>
      </c>
      <c r="D33" s="26" t="inlineStr">
        <is>
          <t>P2 - Medium</t>
        </is>
      </c>
      <c r="E33" s="27" t="inlineStr">
        <is>
          <t>Security</t>
        </is>
      </c>
      <c r="F33" s="28" t="inlineStr">
        <is>
          <t>Donor Login - Donor CSRF Header Verification</t>
        </is>
      </c>
      <c r="G33" s="28" t="inlineStr">
        <is>
          <t>SHAREBITE app active on http://localhost:5173/login</t>
        </is>
      </c>
      <c r="H33" s="28" t="inlineStr">
        <is>
          <t>1. Navigate to /login. 2. Ensure Donor role is active. 3. Inspect API network request headers. 4. Verify outcome.</t>
        </is>
      </c>
      <c r="I33" s="28" t="inlineStr">
        <is>
          <t>Network tab XHR</t>
        </is>
      </c>
      <c r="J33" s="28" t="inlineStr">
        <is>
          <t>Valid CSRF token / Authorization Bearer header present</t>
        </is>
      </c>
      <c r="K33" s="28" t="inlineStr">
        <is>
          <t>As expected</t>
        </is>
      </c>
      <c r="L33" s="25" t="inlineStr">
        <is>
          <t>Pass</t>
        </is>
      </c>
      <c r="M33" s="27" t="inlineStr">
        <is>
          <t>Manual</t>
        </is>
      </c>
    </row>
    <row r="34">
      <c r="A34" s="22" t="inlineStr">
        <is>
          <t>TC_LOG_033</t>
        </is>
      </c>
      <c r="B34" s="23" t="inlineStr">
        <is>
          <t>Authentication</t>
        </is>
      </c>
      <c r="C34" s="24" t="inlineStr">
        <is>
          <t>Donor Login &amp; Auth</t>
        </is>
      </c>
      <c r="D34" s="22" t="inlineStr">
        <is>
          <t>P2 - Medium</t>
        </is>
      </c>
      <c r="E34" s="23" t="inlineStr">
        <is>
          <t>UI/UX</t>
        </is>
      </c>
      <c r="F34" s="24" t="inlineStr">
        <is>
          <t>Donor Login - Donor Direct Route Access Unauthenticated</t>
        </is>
      </c>
      <c r="G34" s="24" t="inlineStr">
        <is>
          <t>SHAREBITE app active on http://localhost:5173/login</t>
        </is>
      </c>
      <c r="H34" s="24" t="inlineStr">
        <is>
          <t>1. Navigate to /login. 2. Ensure Donor role is active. 3. Navigate directly to /dashboard as guest. 4. Verify outcome.</t>
        </is>
      </c>
      <c r="I34" s="24" t="inlineStr">
        <is>
          <t>Direct URL enter</t>
        </is>
      </c>
      <c r="J34" s="24" t="inlineStr">
        <is>
          <t>Guarded route redirects guest user to /login</t>
        </is>
      </c>
      <c r="K34" s="24" t="inlineStr">
        <is>
          <t>As expected</t>
        </is>
      </c>
      <c r="L34" s="25" t="inlineStr">
        <is>
          <t>Pass</t>
        </is>
      </c>
      <c r="M34" s="23" t="inlineStr">
        <is>
          <t>Manual</t>
        </is>
      </c>
    </row>
    <row r="35">
      <c r="A35" s="26" t="inlineStr">
        <is>
          <t>TC_LOG_034</t>
        </is>
      </c>
      <c r="B35" s="27" t="inlineStr">
        <is>
          <t>Authentication</t>
        </is>
      </c>
      <c r="C35" s="28" t="inlineStr">
        <is>
          <t>Donor Login &amp; Auth</t>
        </is>
      </c>
      <c r="D35" s="26" t="inlineStr">
        <is>
          <t>P2 - Medium</t>
        </is>
      </c>
      <c r="E35" s="27" t="inlineStr">
        <is>
          <t>Security</t>
        </is>
      </c>
      <c r="F35" s="28" t="inlineStr">
        <is>
          <t>Donor Login - Donor Role Authorization Guard</t>
        </is>
      </c>
      <c r="G35" s="28" t="inlineStr">
        <is>
          <t>SHAREBITE app active on http://localhost:5173/login</t>
        </is>
      </c>
      <c r="H35" s="28" t="inlineStr">
        <is>
          <t>1. Navigate to /login. 2. Ensure Donor role is active. 3. Attempt receiver route with donor token. 4. Verify outcome.</t>
        </is>
      </c>
      <c r="I35" s="28" t="inlineStr">
        <is>
          <t>Donor authenticated</t>
        </is>
      </c>
      <c r="J35" s="28" t="inlineStr">
        <is>
          <t>Access denied or gracefully redirected to donor area</t>
        </is>
      </c>
      <c r="K35" s="28" t="inlineStr">
        <is>
          <t>As expected</t>
        </is>
      </c>
      <c r="L35" s="25" t="inlineStr">
        <is>
          <t>Pass</t>
        </is>
      </c>
      <c r="M35" s="27" t="inlineStr">
        <is>
          <t>Manual</t>
        </is>
      </c>
    </row>
    <row r="36">
      <c r="A36" s="22" t="inlineStr">
        <is>
          <t>TC_LOG_035</t>
        </is>
      </c>
      <c r="B36" s="23" t="inlineStr">
        <is>
          <t>Authentication</t>
        </is>
      </c>
      <c r="C36" s="24" t="inlineStr">
        <is>
          <t>Donor Login &amp; Auth</t>
        </is>
      </c>
      <c r="D36" s="22" t="inlineStr">
        <is>
          <t>P2 - Medium</t>
        </is>
      </c>
      <c r="E36" s="23" t="inlineStr">
        <is>
          <t>UI/UX</t>
        </is>
      </c>
      <c r="F36" s="24" t="inlineStr">
        <is>
          <t>Donor Login - Donor Login Load Performance</t>
        </is>
      </c>
      <c r="G36" s="24" t="inlineStr">
        <is>
          <t>SHAREBITE app active on http://localhost:5173/login</t>
        </is>
      </c>
      <c r="H36" s="24" t="inlineStr">
        <is>
          <t>1. Navigate to /login. 2. Ensure Donor role is active. 3. Measure login request response time. 4. Verify outcome.</t>
        </is>
      </c>
      <c r="I36" s="24" t="inlineStr">
        <is>
          <t>Network timing</t>
        </is>
      </c>
      <c r="J36" s="24" t="inlineStr">
        <is>
          <t>Login API completes in under 500ms</t>
        </is>
      </c>
      <c r="K36" s="24" t="inlineStr">
        <is>
          <t>As expected</t>
        </is>
      </c>
      <c r="L36" s="25" t="inlineStr">
        <is>
          <t>Pass</t>
        </is>
      </c>
      <c r="M36" s="23" t="inlineStr">
        <is>
          <t>Manual</t>
        </is>
      </c>
    </row>
    <row r="37">
      <c r="A37" s="26" t="inlineStr">
        <is>
          <t>TC_LOG_036</t>
        </is>
      </c>
      <c r="B37" s="27" t="inlineStr">
        <is>
          <t>Authentication</t>
        </is>
      </c>
      <c r="C37" s="28" t="inlineStr">
        <is>
          <t>Receiver Login &amp; Auth</t>
        </is>
      </c>
      <c r="D37" s="26" t="inlineStr">
        <is>
          <t>P0 - Critical</t>
        </is>
      </c>
      <c r="E37" s="27" t="inlineStr">
        <is>
          <t>Functional</t>
        </is>
      </c>
      <c r="F37" s="28" t="inlineStr">
        <is>
          <t>Receiver Login - Receiver Role Selection</t>
        </is>
      </c>
      <c r="G37" s="28" t="inlineStr">
        <is>
          <t>SHAREBITE app active on http://localhost:5173/login</t>
        </is>
      </c>
      <c r="H37" s="28" t="inlineStr">
        <is>
          <t>1. Navigate to /login. 2. Select Receiver role. 3. Select Receiver role toggle. 4. Verify outcome.</t>
        </is>
      </c>
      <c r="I37" s="28" t="inlineStr">
        <is>
          <t>Receiver button clicked</t>
        </is>
      </c>
      <c r="J37" s="28" t="inlineStr">
        <is>
          <t>Receiver role active, slogan 'Claim available food' displayed</t>
        </is>
      </c>
      <c r="K37" s="28" t="inlineStr">
        <is>
          <t>As expected</t>
        </is>
      </c>
      <c r="L37" s="25" t="inlineStr">
        <is>
          <t>Pass</t>
        </is>
      </c>
      <c r="M37" s="27" t="inlineStr">
        <is>
          <t>Automated</t>
        </is>
      </c>
    </row>
    <row r="38">
      <c r="A38" s="22" t="inlineStr">
        <is>
          <t>TC_LOG_037</t>
        </is>
      </c>
      <c r="B38" s="23" t="inlineStr">
        <is>
          <t>Authentication</t>
        </is>
      </c>
      <c r="C38" s="24" t="inlineStr">
        <is>
          <t>Receiver Login &amp; Auth</t>
        </is>
      </c>
      <c r="D38" s="22" t="inlineStr">
        <is>
          <t>P0 - Critical</t>
        </is>
      </c>
      <c r="E38" s="23" t="inlineStr">
        <is>
          <t>Functional</t>
        </is>
      </c>
      <c r="F38" s="24" t="inlineStr">
        <is>
          <t>Receiver Login - Receiver Credentials - Valid Email &amp; Password</t>
        </is>
      </c>
      <c r="G38" s="24" t="inlineStr">
        <is>
          <t>SHAREBITE app active on http://localhost:5173/login</t>
        </is>
      </c>
      <c r="H38" s="24" t="inlineStr">
        <is>
          <t>1. Navigate to /login. 2. Select Receiver role. 3. Enter valid receiver email and password. 4. Verify outcome.</t>
        </is>
      </c>
      <c r="I38" s="24" t="inlineStr">
        <is>
          <t>receiver@ngo.org / receiver123</t>
        </is>
      </c>
      <c r="J38" s="24" t="inlineStr">
        <is>
          <t>User authenticated, redirected to Receiver Dashboard</t>
        </is>
      </c>
      <c r="K38" s="24" t="inlineStr">
        <is>
          <t>As expected</t>
        </is>
      </c>
      <c r="L38" s="25" t="inlineStr">
        <is>
          <t>Pass</t>
        </is>
      </c>
      <c r="M38" s="23" t="inlineStr">
        <is>
          <t>Automated</t>
        </is>
      </c>
    </row>
    <row r="39">
      <c r="A39" s="26" t="inlineStr">
        <is>
          <t>TC_LOG_038</t>
        </is>
      </c>
      <c r="B39" s="27" t="inlineStr">
        <is>
          <t>Authentication</t>
        </is>
      </c>
      <c r="C39" s="28" t="inlineStr">
        <is>
          <t>Receiver Login &amp; Auth</t>
        </is>
      </c>
      <c r="D39" s="26" t="inlineStr">
        <is>
          <t>P0 - Critical</t>
        </is>
      </c>
      <c r="E39" s="27" t="inlineStr">
        <is>
          <t>Functional</t>
        </is>
      </c>
      <c r="F39" s="28" t="inlineStr">
        <is>
          <t>Receiver Login - Receiver Demo Credentials Auto-Fill</t>
        </is>
      </c>
      <c r="G39" s="28" t="inlineStr">
        <is>
          <t>SHAREBITE app active on http://localhost:5173/login</t>
        </is>
      </c>
      <c r="H39" s="28" t="inlineStr">
        <is>
          <t>1. Navigate to /login. 2. Select Receiver role. 3. Click demo receiver preset option. 4. Verify outcome.</t>
        </is>
      </c>
      <c r="I39" s="28" t="inlineStr">
        <is>
          <t>Receiver demo preset</t>
        </is>
      </c>
      <c r="J39" s="28" t="inlineStr">
        <is>
          <t>Receiver demo email/password auto-filled</t>
        </is>
      </c>
      <c r="K39" s="28" t="inlineStr">
        <is>
          <t>As expected</t>
        </is>
      </c>
      <c r="L39" s="25" t="inlineStr">
        <is>
          <t>Pass</t>
        </is>
      </c>
      <c r="M39" s="27" t="inlineStr">
        <is>
          <t>Automated</t>
        </is>
      </c>
    </row>
    <row r="40">
      <c r="A40" s="22" t="inlineStr">
        <is>
          <t>TC_LOG_039</t>
        </is>
      </c>
      <c r="B40" s="23" t="inlineStr">
        <is>
          <t>Authentication</t>
        </is>
      </c>
      <c r="C40" s="24" t="inlineStr">
        <is>
          <t>Receiver Login &amp; Auth</t>
        </is>
      </c>
      <c r="D40" s="22" t="inlineStr">
        <is>
          <t>P0 - Critical</t>
        </is>
      </c>
      <c r="E40" s="23" t="inlineStr">
        <is>
          <t>Functional</t>
        </is>
      </c>
      <c r="F40" s="24" t="inlineStr">
        <is>
          <t>Receiver Login - Receiver Dashboard Greeting Verification</t>
        </is>
      </c>
      <c r="G40" s="24" t="inlineStr">
        <is>
          <t>SHAREBITE app active on http://localhost:5173/login</t>
        </is>
      </c>
      <c r="H40" s="24" t="inlineStr">
        <is>
          <t>1. Navigate to /login. 2. Select Receiver role. 3. Inspect header greeting post login. 4. Verify outcome.</t>
        </is>
      </c>
      <c r="I40" s="24" t="inlineStr">
        <is>
          <t>receiver@ngo.org</t>
        </is>
      </c>
      <c r="J40" s="24" t="inlineStr">
        <is>
          <t>Dashboard displays NGO organization name</t>
        </is>
      </c>
      <c r="K40" s="24" t="inlineStr">
        <is>
          <t>As expected</t>
        </is>
      </c>
      <c r="L40" s="25" t="inlineStr">
        <is>
          <t>Pass</t>
        </is>
      </c>
      <c r="M40" s="23" t="inlineStr">
        <is>
          <t>Automated</t>
        </is>
      </c>
    </row>
    <row r="41">
      <c r="A41" s="26" t="inlineStr">
        <is>
          <t>TC_LOG_040</t>
        </is>
      </c>
      <c r="B41" s="27" t="inlineStr">
        <is>
          <t>Authentication</t>
        </is>
      </c>
      <c r="C41" s="28" t="inlineStr">
        <is>
          <t>Receiver Login &amp; Auth</t>
        </is>
      </c>
      <c r="D41" s="26" t="inlineStr">
        <is>
          <t>P0 - Critical</t>
        </is>
      </c>
      <c r="E41" s="27" t="inlineStr">
        <is>
          <t>Functional</t>
        </is>
      </c>
      <c r="F41" s="28" t="inlineStr">
        <is>
          <t>Receiver Login - Receiver Role Re-selection State</t>
        </is>
      </c>
      <c r="G41" s="28" t="inlineStr">
        <is>
          <t>SHAREBITE app active on http://localhost:5173/login</t>
        </is>
      </c>
      <c r="H41" s="28" t="inlineStr">
        <is>
          <t>1. Navigate to /login. 2. Select Receiver role. 3. Switch between Donor and Receiver tabs. 4. Verify outcome.</t>
        </is>
      </c>
      <c r="I41" s="28" t="inlineStr">
        <is>
          <t>Click Donor then Receiver</t>
        </is>
      </c>
      <c r="J41" s="28" t="inlineStr">
        <is>
          <t>Role state toggles cleanly without data leakage</t>
        </is>
      </c>
      <c r="K41" s="28" t="inlineStr">
        <is>
          <t>As expected</t>
        </is>
      </c>
      <c r="L41" s="25" t="inlineStr">
        <is>
          <t>Pass</t>
        </is>
      </c>
      <c r="M41" s="27" t="inlineStr">
        <is>
          <t>Automated</t>
        </is>
      </c>
    </row>
    <row r="42">
      <c r="A42" s="22" t="inlineStr">
        <is>
          <t>TC_LOG_041</t>
        </is>
      </c>
      <c r="B42" s="23" t="inlineStr">
        <is>
          <t>Authentication</t>
        </is>
      </c>
      <c r="C42" s="24" t="inlineStr">
        <is>
          <t>Receiver Login &amp; Auth</t>
        </is>
      </c>
      <c r="D42" s="22" t="inlineStr">
        <is>
          <t>P0 - Critical</t>
        </is>
      </c>
      <c r="E42" s="23" t="inlineStr">
        <is>
          <t>Functional</t>
        </is>
      </c>
      <c r="F42" s="24" t="inlineStr">
        <is>
          <t>Receiver Login - Receiver Persistent Role Choice</t>
        </is>
      </c>
      <c r="G42" s="24" t="inlineStr">
        <is>
          <t>SHAREBITE app active on http://localhost:5173/login</t>
        </is>
      </c>
      <c r="H42" s="24" t="inlineStr">
        <is>
          <t>1. Navigate to /login. 2. Select Receiver role. 3. Select Receiver, refresh page. 4. Verify outcome.</t>
        </is>
      </c>
      <c r="I42" s="24" t="inlineStr">
        <is>
          <t>F5 Refresh</t>
        </is>
      </c>
      <c r="J42" s="24" t="inlineStr">
        <is>
          <t>Selected role remains Receiver</t>
        </is>
      </c>
      <c r="K42" s="24" t="inlineStr">
        <is>
          <t>As expected</t>
        </is>
      </c>
      <c r="L42" s="25" t="inlineStr">
        <is>
          <t>Pass</t>
        </is>
      </c>
      <c r="M42" s="23" t="inlineStr">
        <is>
          <t>Automated</t>
        </is>
      </c>
    </row>
    <row r="43">
      <c r="A43" s="26" t="inlineStr">
        <is>
          <t>TC_LOG_042</t>
        </is>
      </c>
      <c r="B43" s="27" t="inlineStr">
        <is>
          <t>Authentication</t>
        </is>
      </c>
      <c r="C43" s="28" t="inlineStr">
        <is>
          <t>Receiver Login &amp; Auth</t>
        </is>
      </c>
      <c r="D43" s="26" t="inlineStr">
        <is>
          <t>P0 - Critical</t>
        </is>
      </c>
      <c r="E43" s="27" t="inlineStr">
        <is>
          <t>Functional</t>
        </is>
      </c>
      <c r="F43" s="28" t="inlineStr">
        <is>
          <t>Receiver Login - Receiver Password Field Masking</t>
        </is>
      </c>
      <c r="G43" s="28" t="inlineStr">
        <is>
          <t>SHAREBITE app active on http://localhost:5173/login</t>
        </is>
      </c>
      <c r="H43" s="28" t="inlineStr">
        <is>
          <t>1. Navigate to /login. 2. Select Receiver role. 3. Input receiver password. 4. Verify outcome.</t>
        </is>
      </c>
      <c r="I43" s="28" t="inlineStr">
        <is>
          <t>MySecretPass!9</t>
        </is>
      </c>
      <c r="J43" s="28" t="inlineStr">
        <is>
          <t>Password characters securely hidden</t>
        </is>
      </c>
      <c r="K43" s="28" t="inlineStr">
        <is>
          <t>As expected</t>
        </is>
      </c>
      <c r="L43" s="25" t="inlineStr">
        <is>
          <t>Pass</t>
        </is>
      </c>
      <c r="M43" s="27" t="inlineStr">
        <is>
          <t>Automated</t>
        </is>
      </c>
    </row>
    <row r="44">
      <c r="A44" s="22" t="inlineStr">
        <is>
          <t>TC_LOG_043</t>
        </is>
      </c>
      <c r="B44" s="23" t="inlineStr">
        <is>
          <t>Authentication</t>
        </is>
      </c>
      <c r="C44" s="24" t="inlineStr">
        <is>
          <t>Receiver Login &amp; Auth</t>
        </is>
      </c>
      <c r="D44" s="22" t="inlineStr">
        <is>
          <t>P0 - Critical</t>
        </is>
      </c>
      <c r="E44" s="23" t="inlineStr">
        <is>
          <t>Functional</t>
        </is>
      </c>
      <c r="F44" s="24" t="inlineStr">
        <is>
          <t>Receiver Login - Receiver Form Submission via Enter Key</t>
        </is>
      </c>
      <c r="G44" s="24" t="inlineStr">
        <is>
          <t>SHAREBITE app active on http://localhost:5173/login</t>
        </is>
      </c>
      <c r="H44" s="24" t="inlineStr">
        <is>
          <t>1. Navigate to /login. 2. Select Receiver role. 3. Press Enter in Receiver login form. 4. Verify outcome.</t>
        </is>
      </c>
      <c r="I44" s="24" t="inlineStr">
        <is>
          <t>Enter key on password input</t>
        </is>
      </c>
      <c r="J44" s="24" t="inlineStr">
        <is>
          <t>Form submits and initiates receiver auth flow</t>
        </is>
      </c>
      <c r="K44" s="24" t="inlineStr">
        <is>
          <t>As expected</t>
        </is>
      </c>
      <c r="L44" s="25" t="inlineStr">
        <is>
          <t>Pass</t>
        </is>
      </c>
      <c r="M44" s="23" t="inlineStr">
        <is>
          <t>Automated</t>
        </is>
      </c>
    </row>
    <row r="45">
      <c r="A45" s="26" t="inlineStr">
        <is>
          <t>TC_LOG_044</t>
        </is>
      </c>
      <c r="B45" s="27" t="inlineStr">
        <is>
          <t>Authentication</t>
        </is>
      </c>
      <c r="C45" s="28" t="inlineStr">
        <is>
          <t>Receiver Login &amp; Auth</t>
        </is>
      </c>
      <c r="D45" s="26" t="inlineStr">
        <is>
          <t>P0 - Critical</t>
        </is>
      </c>
      <c r="E45" s="27" t="inlineStr">
        <is>
          <t>Functional</t>
        </is>
      </c>
      <c r="F45" s="28" t="inlineStr">
        <is>
          <t>Receiver Login - Receiver Login - Empty Email</t>
        </is>
      </c>
      <c r="G45" s="28" t="inlineStr">
        <is>
          <t>SHAREBITE app active on http://localhost:5173/login</t>
        </is>
      </c>
      <c r="H45" s="28" t="inlineStr">
        <is>
          <t>1. Navigate to /login. 2. Select Receiver role. 3. Submit form with empty receiver email. 4. Verify outcome.</t>
        </is>
      </c>
      <c r="I45" s="28" t="inlineStr">
        <is>
          <t>Blank email</t>
        </is>
      </c>
      <c r="J45" s="28" t="inlineStr">
        <is>
          <t>HTML5 error popup indicates required field</t>
        </is>
      </c>
      <c r="K45" s="28" t="inlineStr">
        <is>
          <t>As expected</t>
        </is>
      </c>
      <c r="L45" s="25" t="inlineStr">
        <is>
          <t>Pass</t>
        </is>
      </c>
      <c r="M45" s="27" t="inlineStr">
        <is>
          <t>Automated</t>
        </is>
      </c>
    </row>
    <row r="46">
      <c r="A46" s="22" t="inlineStr">
        <is>
          <t>TC_LOG_045</t>
        </is>
      </c>
      <c r="B46" s="23" t="inlineStr">
        <is>
          <t>Authentication</t>
        </is>
      </c>
      <c r="C46" s="24" t="inlineStr">
        <is>
          <t>Receiver Login &amp; Auth</t>
        </is>
      </c>
      <c r="D46" s="22" t="inlineStr">
        <is>
          <t>P0 - Critical</t>
        </is>
      </c>
      <c r="E46" s="23" t="inlineStr">
        <is>
          <t>Functional</t>
        </is>
      </c>
      <c r="F46" s="24" t="inlineStr">
        <is>
          <t>Receiver Login - Receiver Login - Empty Password</t>
        </is>
      </c>
      <c r="G46" s="24" t="inlineStr">
        <is>
          <t>SHAREBITE app active on http://localhost:5173/login</t>
        </is>
      </c>
      <c r="H46" s="24" t="inlineStr">
        <is>
          <t>1. Navigate to /login. 2. Select Receiver role. 3. Submit form with empty password. 4. Verify outcome.</t>
        </is>
      </c>
      <c r="I46" s="24" t="inlineStr">
        <is>
          <t>Blank password</t>
        </is>
      </c>
      <c r="J46" s="24" t="inlineStr">
        <is>
          <t>HTML5 error popup indicates required field</t>
        </is>
      </c>
      <c r="K46" s="24" t="inlineStr">
        <is>
          <t>As expected</t>
        </is>
      </c>
      <c r="L46" s="25" t="inlineStr">
        <is>
          <t>Pass</t>
        </is>
      </c>
      <c r="M46" s="23" t="inlineStr">
        <is>
          <t>Automated</t>
        </is>
      </c>
    </row>
    <row r="47">
      <c r="A47" s="26" t="inlineStr">
        <is>
          <t>TC_LOG_046</t>
        </is>
      </c>
      <c r="B47" s="27" t="inlineStr">
        <is>
          <t>Authentication</t>
        </is>
      </c>
      <c r="C47" s="28" t="inlineStr">
        <is>
          <t>Receiver Login &amp; Auth</t>
        </is>
      </c>
      <c r="D47" s="26" t="inlineStr">
        <is>
          <t>P0 - Critical</t>
        </is>
      </c>
      <c r="E47" s="27" t="inlineStr">
        <is>
          <t>Functional</t>
        </is>
      </c>
      <c r="F47" s="28" t="inlineStr">
        <is>
          <t>Receiver Login - Receiver Login - Trim Whitespaces</t>
        </is>
      </c>
      <c r="G47" s="28" t="inlineStr">
        <is>
          <t>SHAREBITE app active on http://localhost:5173/login</t>
        </is>
      </c>
      <c r="H47" s="28" t="inlineStr">
        <is>
          <t>1. Navigate to /login. 2. Select Receiver role. 3. Enter receiver email with trailing space. 4. Verify outcome.</t>
        </is>
      </c>
      <c r="I47" s="28" t="inlineStr">
        <is>
          <t xml:space="preserve"> receiver@ngo.org </t>
        </is>
      </c>
      <c r="J47" s="28" t="inlineStr">
        <is>
          <t>Email whitespace stripped before validation</t>
        </is>
      </c>
      <c r="K47" s="28" t="inlineStr">
        <is>
          <t>As expected</t>
        </is>
      </c>
      <c r="L47" s="25" t="inlineStr">
        <is>
          <t>Pass</t>
        </is>
      </c>
      <c r="M47" s="27" t="inlineStr">
        <is>
          <t>Automated</t>
        </is>
      </c>
    </row>
    <row r="48">
      <c r="A48" s="22" t="inlineStr">
        <is>
          <t>TC_LOG_047</t>
        </is>
      </c>
      <c r="B48" s="23" t="inlineStr">
        <is>
          <t>Authentication</t>
        </is>
      </c>
      <c r="C48" s="24" t="inlineStr">
        <is>
          <t>Receiver Login &amp; Auth</t>
        </is>
      </c>
      <c r="D48" s="22" t="inlineStr">
        <is>
          <t>P0 - Critical</t>
        </is>
      </c>
      <c r="E48" s="23" t="inlineStr">
        <is>
          <t>Functional</t>
        </is>
      </c>
      <c r="F48" s="24" t="inlineStr">
        <is>
          <t>Receiver Login - Receiver Login - Case Insensitive Email</t>
        </is>
      </c>
      <c r="G48" s="24" t="inlineStr">
        <is>
          <t>SHAREBITE app active on http://localhost:5173/login</t>
        </is>
      </c>
      <c r="H48" s="24" t="inlineStr">
        <is>
          <t>1. Navigate to /login. 2. Select Receiver role. 3. Enter receiver email in mixed case. 4. Verify outcome.</t>
        </is>
      </c>
      <c r="I48" s="24" t="inlineStr">
        <is>
          <t>ReCeIvEr@Ngo.Org</t>
        </is>
      </c>
      <c r="J48" s="24" t="inlineStr">
        <is>
          <t>Email normalized and user logged in</t>
        </is>
      </c>
      <c r="K48" s="24" t="inlineStr">
        <is>
          <t>As expected</t>
        </is>
      </c>
      <c r="L48" s="25" t="inlineStr">
        <is>
          <t>Pass</t>
        </is>
      </c>
      <c r="M48" s="23" t="inlineStr">
        <is>
          <t>Automated</t>
        </is>
      </c>
    </row>
    <row r="49">
      <c r="A49" s="26" t="inlineStr">
        <is>
          <t>TC_LOG_048</t>
        </is>
      </c>
      <c r="B49" s="27" t="inlineStr">
        <is>
          <t>Authentication</t>
        </is>
      </c>
      <c r="C49" s="28" t="inlineStr">
        <is>
          <t>Receiver Login &amp; Auth</t>
        </is>
      </c>
      <c r="D49" s="26" t="inlineStr">
        <is>
          <t>P0 - Critical</t>
        </is>
      </c>
      <c r="E49" s="27" t="inlineStr">
        <is>
          <t>Functional</t>
        </is>
      </c>
      <c r="F49" s="28" t="inlineStr">
        <is>
          <t>Receiver Login - Receiver Login - Invalid Password</t>
        </is>
      </c>
      <c r="G49" s="28" t="inlineStr">
        <is>
          <t>SHAREBITE app active on http://localhost:5173/login</t>
        </is>
      </c>
      <c r="H49" s="28" t="inlineStr">
        <is>
          <t>1. Navigate to /login. 2. Select Receiver role. 3. Submit receiver email with wrong password. 4. Verify outcome.</t>
        </is>
      </c>
      <c r="I49" s="28" t="inlineStr">
        <is>
          <t>receiver@ngo.org / wrong</t>
        </is>
      </c>
      <c r="J49" s="28" t="inlineStr">
        <is>
          <t>Error banner 'Invalid credentials' rendered</t>
        </is>
      </c>
      <c r="K49" s="28" t="inlineStr">
        <is>
          <t>As expected</t>
        </is>
      </c>
      <c r="L49" s="25" t="inlineStr">
        <is>
          <t>Pass</t>
        </is>
      </c>
      <c r="M49" s="27" t="inlineStr">
        <is>
          <t>Automated</t>
        </is>
      </c>
    </row>
    <row r="50">
      <c r="A50" s="22" t="inlineStr">
        <is>
          <t>TC_LOG_049</t>
        </is>
      </c>
      <c r="B50" s="23" t="inlineStr">
        <is>
          <t>Authentication</t>
        </is>
      </c>
      <c r="C50" s="24" t="inlineStr">
        <is>
          <t>Receiver Login &amp; Auth</t>
        </is>
      </c>
      <c r="D50" s="22" t="inlineStr">
        <is>
          <t>P0 - Critical</t>
        </is>
      </c>
      <c r="E50" s="23" t="inlineStr">
        <is>
          <t>Functional</t>
        </is>
      </c>
      <c r="F50" s="24" t="inlineStr">
        <is>
          <t>Receiver Login - Receiver Login - Unregistered Account</t>
        </is>
      </c>
      <c r="G50" s="24" t="inlineStr">
        <is>
          <t>SHAREBITE app active on http://localhost:5173/login</t>
        </is>
      </c>
      <c r="H50" s="24" t="inlineStr">
        <is>
          <t>1. Navigate to /login. 2. Select Receiver role. 3. Submit unregistered receiver email. 4. Verify outcome.</t>
        </is>
      </c>
      <c r="I50" s="24" t="inlineStr">
        <is>
          <t>new_receiver@ngo.org</t>
        </is>
      </c>
      <c r="J50" s="24" t="inlineStr">
        <is>
          <t>Error message displayed for non-existent account</t>
        </is>
      </c>
      <c r="K50" s="24" t="inlineStr">
        <is>
          <t>As expected</t>
        </is>
      </c>
      <c r="L50" s="25" t="inlineStr">
        <is>
          <t>Pass</t>
        </is>
      </c>
      <c r="M50" s="23" t="inlineStr">
        <is>
          <t>Automated</t>
        </is>
      </c>
    </row>
    <row r="51">
      <c r="A51" s="26" t="inlineStr">
        <is>
          <t>TC_LOG_050</t>
        </is>
      </c>
      <c r="B51" s="27" t="inlineStr">
        <is>
          <t>Authentication</t>
        </is>
      </c>
      <c r="C51" s="28" t="inlineStr">
        <is>
          <t>Receiver Login &amp; Auth</t>
        </is>
      </c>
      <c r="D51" s="26" t="inlineStr">
        <is>
          <t>P0 - Critical</t>
        </is>
      </c>
      <c r="E51" s="27" t="inlineStr">
        <is>
          <t>Functional</t>
        </is>
      </c>
      <c r="F51" s="28" t="inlineStr">
        <is>
          <t>Receiver Login - Receiver Quick Re-login</t>
        </is>
      </c>
      <c r="G51" s="28" t="inlineStr">
        <is>
          <t>SHAREBITE app active on http://localhost:5173/login</t>
        </is>
      </c>
      <c r="H51" s="28" t="inlineStr">
        <is>
          <t>1. Navigate to /login. 2. Select Receiver role. 3. Logout and immediately re-login. 4. Verify outcome.</t>
        </is>
      </c>
      <c r="I51" s="28" t="inlineStr">
        <is>
          <t>Quick login cycle</t>
        </is>
      </c>
      <c r="J51" s="28" t="inlineStr">
        <is>
          <t>Login succeeds without cached state issues</t>
        </is>
      </c>
      <c r="K51" s="28" t="inlineStr">
        <is>
          <t>As expected</t>
        </is>
      </c>
      <c r="L51" s="25" t="inlineStr">
        <is>
          <t>Pass</t>
        </is>
      </c>
      <c r="M51" s="27" t="inlineStr">
        <is>
          <t>Automated</t>
        </is>
      </c>
    </row>
    <row r="52">
      <c r="A52" s="22" t="inlineStr">
        <is>
          <t>TC_LOG_051</t>
        </is>
      </c>
      <c r="B52" s="23" t="inlineStr">
        <is>
          <t>Authentication</t>
        </is>
      </c>
      <c r="C52" s="24" t="inlineStr">
        <is>
          <t>Receiver Login &amp; Auth</t>
        </is>
      </c>
      <c r="D52" s="22" t="inlineStr">
        <is>
          <t>P1 - High</t>
        </is>
      </c>
      <c r="E52" s="23" t="inlineStr">
        <is>
          <t>Functional</t>
        </is>
      </c>
      <c r="F52" s="24" t="inlineStr">
        <is>
          <t>Receiver Login - Receiver Nav Bar Items</t>
        </is>
      </c>
      <c r="G52" s="24" t="inlineStr">
        <is>
          <t>SHAREBITE app active on http://localhost:5173/login</t>
        </is>
      </c>
      <c r="H52" s="24" t="inlineStr">
        <is>
          <t>1. Navigate to /login. 2. Select Receiver role. 3. Check receiver top menu items. 4. Verify outcome.</t>
        </is>
      </c>
      <c r="I52" s="24" t="inlineStr">
        <is>
          <t>Receiver logged in</t>
        </is>
      </c>
      <c r="J52" s="24" t="inlineStr">
        <is>
          <t>Displays 'Browse Food', 'My Claims', 'Impact', 'Logout'</t>
        </is>
      </c>
      <c r="K52" s="24" t="inlineStr">
        <is>
          <t>As expected</t>
        </is>
      </c>
      <c r="L52" s="25" t="inlineStr">
        <is>
          <t>Pass</t>
        </is>
      </c>
      <c r="M52" s="23" t="inlineStr">
        <is>
          <t>Automated</t>
        </is>
      </c>
    </row>
    <row r="53">
      <c r="A53" s="26" t="inlineStr">
        <is>
          <t>TC_LOG_052</t>
        </is>
      </c>
      <c r="B53" s="27" t="inlineStr">
        <is>
          <t>Authentication</t>
        </is>
      </c>
      <c r="C53" s="28" t="inlineStr">
        <is>
          <t>Receiver Login &amp; Auth</t>
        </is>
      </c>
      <c r="D53" s="26" t="inlineStr">
        <is>
          <t>P1 - High</t>
        </is>
      </c>
      <c r="E53" s="27" t="inlineStr">
        <is>
          <t>Functional</t>
        </is>
      </c>
      <c r="F53" s="28" t="inlineStr">
        <is>
          <t>Receiver Login - Receiver Claim Food Modal</t>
        </is>
      </c>
      <c r="G53" s="28" t="inlineStr">
        <is>
          <t>SHAREBITE app active on http://localhost:5173/login</t>
        </is>
      </c>
      <c r="H53" s="28" t="inlineStr">
        <is>
          <t>1. Navigate to /login. 2. Select Receiver role. 3. Click 'Claim' on available food item. 4. Verify outcome.</t>
        </is>
      </c>
      <c r="I53" s="28" t="inlineStr">
        <is>
          <t>Receiver Dashboard</t>
        </is>
      </c>
      <c r="J53" s="28" t="inlineStr">
        <is>
          <t>Claim confirmation drawer opens with pickup instructions</t>
        </is>
      </c>
      <c r="K53" s="28" t="inlineStr">
        <is>
          <t>As expected</t>
        </is>
      </c>
      <c r="L53" s="25" t="inlineStr">
        <is>
          <t>Pass</t>
        </is>
      </c>
      <c r="M53" s="27" t="inlineStr">
        <is>
          <t>Automated</t>
        </is>
      </c>
    </row>
    <row r="54">
      <c r="A54" s="22" t="inlineStr">
        <is>
          <t>TC_LOG_053</t>
        </is>
      </c>
      <c r="B54" s="23" t="inlineStr">
        <is>
          <t>Authentication</t>
        </is>
      </c>
      <c r="C54" s="24" t="inlineStr">
        <is>
          <t>Receiver Login &amp; Auth</t>
        </is>
      </c>
      <c r="D54" s="22" t="inlineStr">
        <is>
          <t>P1 - High</t>
        </is>
      </c>
      <c r="E54" s="23" t="inlineStr">
        <is>
          <t>Functional</t>
        </is>
      </c>
      <c r="F54" s="24" t="inlineStr">
        <is>
          <t>Receiver Login - Receiver Organization Profile View</t>
        </is>
      </c>
      <c r="G54" s="24" t="inlineStr">
        <is>
          <t>SHAREBITE app active on http://localhost:5173/login</t>
        </is>
      </c>
      <c r="H54" s="24" t="inlineStr">
        <is>
          <t>1. Navigate to /login. 2. Select Receiver role. 3. View NGO profile info in receiver area. 4. Verify outcome.</t>
        </is>
      </c>
      <c r="I54" s="24" t="inlineStr">
        <is>
          <t>Receiver dashboard profile</t>
        </is>
      </c>
      <c r="J54" s="24" t="inlineStr">
        <is>
          <t>Displays non-profit verification badge</t>
        </is>
      </c>
      <c r="K54" s="24" t="inlineStr">
        <is>
          <t>As expected</t>
        </is>
      </c>
      <c r="L54" s="25" t="inlineStr">
        <is>
          <t>Pass</t>
        </is>
      </c>
      <c r="M54" s="23" t="inlineStr">
        <is>
          <t>Automated</t>
        </is>
      </c>
    </row>
    <row r="55">
      <c r="A55" s="26" t="inlineStr">
        <is>
          <t>TC_LOG_054</t>
        </is>
      </c>
      <c r="B55" s="27" t="inlineStr">
        <is>
          <t>Authentication</t>
        </is>
      </c>
      <c r="C55" s="28" t="inlineStr">
        <is>
          <t>Receiver Login &amp; Auth</t>
        </is>
      </c>
      <c r="D55" s="26" t="inlineStr">
        <is>
          <t>P1 - High</t>
        </is>
      </c>
      <c r="E55" s="27" t="inlineStr">
        <is>
          <t>Functional</t>
        </is>
      </c>
      <c r="F55" s="28" t="inlineStr">
        <is>
          <t>Receiver Login - Receiver Remember Me State</t>
        </is>
      </c>
      <c r="G55" s="28" t="inlineStr">
        <is>
          <t>SHAREBITE app active on http://localhost:5173/login</t>
        </is>
      </c>
      <c r="H55" s="28" t="inlineStr">
        <is>
          <t>1. Navigate to /login. 2. Select Receiver role. 3. Check 'Keep me signed in' checkbox. 4. Verify outcome.</t>
        </is>
      </c>
      <c r="I55" s="28" t="inlineStr">
        <is>
          <t>Receiver login page</t>
        </is>
      </c>
      <c r="J55" s="28" t="inlineStr">
        <is>
          <t>Auth session preserved across browser restart</t>
        </is>
      </c>
      <c r="K55" s="28" t="inlineStr">
        <is>
          <t>As expected</t>
        </is>
      </c>
      <c r="L55" s="25" t="inlineStr">
        <is>
          <t>Pass</t>
        </is>
      </c>
      <c r="M55" s="27" t="inlineStr">
        <is>
          <t>Automated</t>
        </is>
      </c>
    </row>
    <row r="56">
      <c r="A56" s="22" t="inlineStr">
        <is>
          <t>TC_LOG_055</t>
        </is>
      </c>
      <c r="B56" s="23" t="inlineStr">
        <is>
          <t>Authentication</t>
        </is>
      </c>
      <c r="C56" s="24" t="inlineStr">
        <is>
          <t>Receiver Login &amp; Auth</t>
        </is>
      </c>
      <c r="D56" s="22" t="inlineStr">
        <is>
          <t>P1 - High</t>
        </is>
      </c>
      <c r="E56" s="23" t="inlineStr">
        <is>
          <t>Functional</t>
        </is>
      </c>
      <c r="F56" s="24" t="inlineStr">
        <is>
          <t>Receiver Login - Receiver Auth Storage Inspection</t>
        </is>
      </c>
      <c r="G56" s="24" t="inlineStr">
        <is>
          <t>SHAREBITE app active on http://localhost:5173/login</t>
        </is>
      </c>
      <c r="H56" s="24" t="inlineStr">
        <is>
          <t>1. Navigate to /login. 2. Select Receiver role. 3. Inspect browser localStorage post login. 4. Verify outcome.</t>
        </is>
      </c>
      <c r="I56" s="24" t="inlineStr">
        <is>
          <t>localStorage keys</t>
        </is>
      </c>
      <c r="J56" s="24" t="inlineStr">
        <is>
          <t>Valid auth_token and user_role stored</t>
        </is>
      </c>
      <c r="K56" s="24" t="inlineStr">
        <is>
          <t>As expected</t>
        </is>
      </c>
      <c r="L56" s="25" t="inlineStr">
        <is>
          <t>Pass</t>
        </is>
      </c>
      <c r="M56" s="23" t="inlineStr">
        <is>
          <t>Automated</t>
        </is>
      </c>
    </row>
    <row r="57">
      <c r="A57" s="26" t="inlineStr">
        <is>
          <t>TC_LOG_056</t>
        </is>
      </c>
      <c r="B57" s="27" t="inlineStr">
        <is>
          <t>Authentication</t>
        </is>
      </c>
      <c r="C57" s="28" t="inlineStr">
        <is>
          <t>Receiver Login &amp; Auth</t>
        </is>
      </c>
      <c r="D57" s="26" t="inlineStr">
        <is>
          <t>P1 - High</t>
        </is>
      </c>
      <c r="E57" s="27" t="inlineStr">
        <is>
          <t>UI/UX</t>
        </is>
      </c>
      <c r="F57" s="28" t="inlineStr">
        <is>
          <t>Receiver Login - Receiver Responsive View (Tablet)</t>
        </is>
      </c>
      <c r="G57" s="28" t="inlineStr">
        <is>
          <t>SHAREBITE app active on http://localhost:5173/login</t>
        </is>
      </c>
      <c r="H57" s="28" t="inlineStr">
        <is>
          <t>1. Navigate to /login. 2. Select Receiver role. 3. Set viewport to 768x1024. 4. Verify outcome.</t>
        </is>
      </c>
      <c r="I57" s="28" t="inlineStr">
        <is>
          <t>Tablet view</t>
        </is>
      </c>
      <c r="J57" s="28" t="inlineStr">
        <is>
          <t>Dashboard grid adapts to 2-column layout</t>
        </is>
      </c>
      <c r="K57" s="28" t="inlineStr">
        <is>
          <t>As expected</t>
        </is>
      </c>
      <c r="L57" s="25" t="inlineStr">
        <is>
          <t>Pass</t>
        </is>
      </c>
      <c r="M57" s="27" t="inlineStr">
        <is>
          <t>Manual</t>
        </is>
      </c>
    </row>
    <row r="58">
      <c r="A58" s="22" t="inlineStr">
        <is>
          <t>TC_LOG_057</t>
        </is>
      </c>
      <c r="B58" s="23" t="inlineStr">
        <is>
          <t>Authentication</t>
        </is>
      </c>
      <c r="C58" s="24" t="inlineStr">
        <is>
          <t>Receiver Login &amp; Auth</t>
        </is>
      </c>
      <c r="D58" s="22" t="inlineStr">
        <is>
          <t>P1 - High</t>
        </is>
      </c>
      <c r="E58" s="23" t="inlineStr">
        <is>
          <t>UI/UX</t>
        </is>
      </c>
      <c r="F58" s="24" t="inlineStr">
        <is>
          <t>Receiver Login - Receiver High Contrast Mode</t>
        </is>
      </c>
      <c r="G58" s="24" t="inlineStr">
        <is>
          <t>SHAREBITE app active on http://localhost:5173/login</t>
        </is>
      </c>
      <c r="H58" s="24" t="inlineStr">
        <is>
          <t>1. Navigate to /login. 2. Select Receiver role. 3. Enable browser high contrast mode. 4. Verify outcome.</t>
        </is>
      </c>
      <c r="I58" s="24" t="inlineStr">
        <is>
          <t>Accessibility setting</t>
        </is>
      </c>
      <c r="J58" s="24" t="inlineStr">
        <is>
          <t>UI text elements retain high contrast ratio &gt;= 4.5:1</t>
        </is>
      </c>
      <c r="K58" s="24" t="inlineStr">
        <is>
          <t>As expected</t>
        </is>
      </c>
      <c r="L58" s="25" t="inlineStr">
        <is>
          <t>Pass</t>
        </is>
      </c>
      <c r="M58" s="23" t="inlineStr">
        <is>
          <t>Manual</t>
        </is>
      </c>
    </row>
    <row r="59">
      <c r="A59" s="26" t="inlineStr">
        <is>
          <t>TC_LOG_058</t>
        </is>
      </c>
      <c r="B59" s="27" t="inlineStr">
        <is>
          <t>Authentication</t>
        </is>
      </c>
      <c r="C59" s="28" t="inlineStr">
        <is>
          <t>Receiver Login &amp; Auth</t>
        </is>
      </c>
      <c r="D59" s="26" t="inlineStr">
        <is>
          <t>P1 - High</t>
        </is>
      </c>
      <c r="E59" s="27" t="inlineStr">
        <is>
          <t>UI/UX</t>
        </is>
      </c>
      <c r="F59" s="28" t="inlineStr">
        <is>
          <t>Receiver Login - Receiver Claim Notification Alert</t>
        </is>
      </c>
      <c r="G59" s="28" t="inlineStr">
        <is>
          <t>SHAREBITE app active on http://localhost:5173/login</t>
        </is>
      </c>
      <c r="H59" s="28" t="inlineStr">
        <is>
          <t>1. Navigate to /login. 2. Select Receiver role. 3. Receive claim status update toast. 4. Verify outcome.</t>
        </is>
      </c>
      <c r="I59" s="28" t="inlineStr">
        <is>
          <t>Donor approves claim</t>
        </is>
      </c>
      <c r="J59" s="28" t="inlineStr">
        <is>
          <t>Real-time notification toast shown to receiver</t>
        </is>
      </c>
      <c r="K59" s="28" t="inlineStr">
        <is>
          <t>As expected</t>
        </is>
      </c>
      <c r="L59" s="25" t="inlineStr">
        <is>
          <t>Pass</t>
        </is>
      </c>
      <c r="M59" s="27" t="inlineStr">
        <is>
          <t>Manual</t>
        </is>
      </c>
    </row>
    <row r="60">
      <c r="A60" s="22" t="inlineStr">
        <is>
          <t>TC_LOG_059</t>
        </is>
      </c>
      <c r="B60" s="23" t="inlineStr">
        <is>
          <t>Authentication</t>
        </is>
      </c>
      <c r="C60" s="24" t="inlineStr">
        <is>
          <t>Receiver Login &amp; Auth</t>
        </is>
      </c>
      <c r="D60" s="22" t="inlineStr">
        <is>
          <t>P1 - High</t>
        </is>
      </c>
      <c r="E60" s="23" t="inlineStr">
        <is>
          <t>UI/UX</t>
        </is>
      </c>
      <c r="F60" s="24" t="inlineStr">
        <is>
          <t>Receiver Login - Receiver Distance Filter Check</t>
        </is>
      </c>
      <c r="G60" s="24" t="inlineStr">
        <is>
          <t>SHAREBITE app active on http://localhost:5173/login</t>
        </is>
      </c>
      <c r="H60" s="24" t="inlineStr">
        <is>
          <t>1. Navigate to /login. 2. Select Receiver role. 3. Filter available food by distance (e.g. &lt; 5km). 4. Verify outcome.</t>
        </is>
      </c>
      <c r="I60" s="24" t="inlineStr">
        <is>
          <t>Filter slider</t>
        </is>
      </c>
      <c r="J60" s="24" t="inlineStr">
        <is>
          <t>Food items sorted by geographic proximity</t>
        </is>
      </c>
      <c r="K60" s="24" t="inlineStr">
        <is>
          <t>As expected</t>
        </is>
      </c>
      <c r="L60" s="25" t="inlineStr">
        <is>
          <t>Pass</t>
        </is>
      </c>
      <c r="M60" s="23" t="inlineStr">
        <is>
          <t>Manual</t>
        </is>
      </c>
    </row>
    <row r="61">
      <c r="A61" s="26" t="inlineStr">
        <is>
          <t>TC_LOG_060</t>
        </is>
      </c>
      <c r="B61" s="27" t="inlineStr">
        <is>
          <t>Authentication</t>
        </is>
      </c>
      <c r="C61" s="28" t="inlineStr">
        <is>
          <t>Receiver Login &amp; Auth</t>
        </is>
      </c>
      <c r="D61" s="26" t="inlineStr">
        <is>
          <t>P1 - High</t>
        </is>
      </c>
      <c r="E61" s="27" t="inlineStr">
        <is>
          <t>UI/UX</t>
        </is>
      </c>
      <c r="F61" s="28" t="inlineStr">
        <is>
          <t>Receiver Login - Receiver Dietary Filter Check</t>
        </is>
      </c>
      <c r="G61" s="28" t="inlineStr">
        <is>
          <t>SHAREBITE app active on http://localhost:5173/login</t>
        </is>
      </c>
      <c r="H61" s="28" t="inlineStr">
        <is>
          <t>1. Navigate to /login. 2. Select Receiver role. 3. Filter food by Vegetarian / Vegan tags. 4. Verify outcome.</t>
        </is>
      </c>
      <c r="I61" s="28" t="inlineStr">
        <is>
          <t>Tag filter checklist</t>
        </is>
      </c>
      <c r="J61" s="28" t="inlineStr">
        <is>
          <t>Only matching dietary items visible</t>
        </is>
      </c>
      <c r="K61" s="28" t="inlineStr">
        <is>
          <t>As expected</t>
        </is>
      </c>
      <c r="L61" s="25" t="inlineStr">
        <is>
          <t>Pass</t>
        </is>
      </c>
      <c r="M61" s="27" t="inlineStr">
        <is>
          <t>Manual</t>
        </is>
      </c>
    </row>
    <row r="62">
      <c r="A62" s="22" t="inlineStr">
        <is>
          <t>TC_LOG_061</t>
        </is>
      </c>
      <c r="B62" s="23" t="inlineStr">
        <is>
          <t>Authentication</t>
        </is>
      </c>
      <c r="C62" s="24" t="inlineStr">
        <is>
          <t>Receiver Login &amp; Auth</t>
        </is>
      </c>
      <c r="D62" s="22" t="inlineStr">
        <is>
          <t>P1 - High</t>
        </is>
      </c>
      <c r="E62" s="23" t="inlineStr">
        <is>
          <t>UI/UX</t>
        </is>
      </c>
      <c r="F62" s="24" t="inlineStr">
        <is>
          <t>Receiver Login - Receiver Search Available Listings</t>
        </is>
      </c>
      <c r="G62" s="24" t="inlineStr">
        <is>
          <t>SHAREBITE app active on http://localhost:5173/login</t>
        </is>
      </c>
      <c r="H62" s="24" t="inlineStr">
        <is>
          <t>1. Navigate to /login. 2. Select Receiver role. 3. Search available food by keyword 'Bread'. 4. Verify outcome.</t>
        </is>
      </c>
      <c r="I62" s="24" t="inlineStr">
        <is>
          <t>Search query 'Bread'</t>
        </is>
      </c>
      <c r="J62" s="24" t="inlineStr">
        <is>
          <t>Matching food cards displayed</t>
        </is>
      </c>
      <c r="K62" s="24" t="inlineStr">
        <is>
          <t>As expected</t>
        </is>
      </c>
      <c r="L62" s="25" t="inlineStr">
        <is>
          <t>Pass</t>
        </is>
      </c>
      <c r="M62" s="23" t="inlineStr">
        <is>
          <t>Manual</t>
        </is>
      </c>
    </row>
    <row r="63">
      <c r="A63" s="26" t="inlineStr">
        <is>
          <t>TC_LOG_062</t>
        </is>
      </c>
      <c r="B63" s="27" t="inlineStr">
        <is>
          <t>Authentication</t>
        </is>
      </c>
      <c r="C63" s="28" t="inlineStr">
        <is>
          <t>Receiver Login &amp; Auth</t>
        </is>
      </c>
      <c r="D63" s="26" t="inlineStr">
        <is>
          <t>P1 - High</t>
        </is>
      </c>
      <c r="E63" s="27" t="inlineStr">
        <is>
          <t>UI/UX</t>
        </is>
      </c>
      <c r="F63" s="28" t="inlineStr">
        <is>
          <t>Receiver Login - Receiver Logout Execution</t>
        </is>
      </c>
      <c r="G63" s="28" t="inlineStr">
        <is>
          <t>SHAREBITE app active on http://localhost:5173/login</t>
        </is>
      </c>
      <c r="H63" s="28" t="inlineStr">
        <is>
          <t>1. Navigate to /login. 2. Select Receiver role. 3. Click Logout from receiver user menu. 4. Verify outcome.</t>
        </is>
      </c>
      <c r="I63" s="28" t="inlineStr">
        <is>
          <t>Active receiver session</t>
        </is>
      </c>
      <c r="J63" s="28" t="inlineStr">
        <is>
          <t>Storage cleared, user returned to /login</t>
        </is>
      </c>
      <c r="K63" s="28" t="inlineStr">
        <is>
          <t>As expected</t>
        </is>
      </c>
      <c r="L63" s="25" t="inlineStr">
        <is>
          <t>Pass</t>
        </is>
      </c>
      <c r="M63" s="27" t="inlineStr">
        <is>
          <t>Manual</t>
        </is>
      </c>
    </row>
    <row r="64">
      <c r="A64" s="22" t="inlineStr">
        <is>
          <t>TC_LOG_063</t>
        </is>
      </c>
      <c r="B64" s="23" t="inlineStr">
        <is>
          <t>Authentication</t>
        </is>
      </c>
      <c r="C64" s="24" t="inlineStr">
        <is>
          <t>Receiver Login &amp; Auth</t>
        </is>
      </c>
      <c r="D64" s="22" t="inlineStr">
        <is>
          <t>P1 - High</t>
        </is>
      </c>
      <c r="E64" s="23" t="inlineStr">
        <is>
          <t>UI/UX</t>
        </is>
      </c>
      <c r="F64" s="24" t="inlineStr">
        <is>
          <t>Receiver Login - Receiver Back Button Post Logout</t>
        </is>
      </c>
      <c r="G64" s="24" t="inlineStr">
        <is>
          <t>SHAREBITE app active on http://localhost:5173/login</t>
        </is>
      </c>
      <c r="H64" s="24" t="inlineStr">
        <is>
          <t>1. Navigate to /login. 2. Select Receiver role. 3. Press back button after logout. 4. Verify outcome.</t>
        </is>
      </c>
      <c r="I64" s="24" t="inlineStr">
        <is>
          <t>Browser back button</t>
        </is>
      </c>
      <c r="J64" s="24" t="inlineStr">
        <is>
          <t>Protected receiver routes remain inaccessible</t>
        </is>
      </c>
      <c r="K64" s="24" t="inlineStr">
        <is>
          <t>As expected</t>
        </is>
      </c>
      <c r="L64" s="25" t="inlineStr">
        <is>
          <t>Pass</t>
        </is>
      </c>
      <c r="M64" s="23" t="inlineStr">
        <is>
          <t>Manual</t>
        </is>
      </c>
    </row>
    <row r="65">
      <c r="A65" s="26" t="inlineStr">
        <is>
          <t>TC_LOG_064</t>
        </is>
      </c>
      <c r="B65" s="27" t="inlineStr">
        <is>
          <t>Authentication</t>
        </is>
      </c>
      <c r="C65" s="28" t="inlineStr">
        <is>
          <t>Receiver Login &amp; Auth</t>
        </is>
      </c>
      <c r="D65" s="26" t="inlineStr">
        <is>
          <t>P2 - Medium</t>
        </is>
      </c>
      <c r="E65" s="27" t="inlineStr">
        <is>
          <t>UI/UX</t>
        </is>
      </c>
      <c r="F65" s="28" t="inlineStr">
        <is>
          <t>Receiver Login - Receiver Multi-tab Logout Sync</t>
        </is>
      </c>
      <c r="G65" s="28" t="inlineStr">
        <is>
          <t>SHAREBITE app active on http://localhost:5173/login</t>
        </is>
      </c>
      <c r="H65" s="28" t="inlineStr">
        <is>
          <t>1. Navigate to /login. 2. Select Receiver role. 3. Logout in Tab A while Tab B is browsing. 4. Verify outcome.</t>
        </is>
      </c>
      <c r="I65" s="28" t="inlineStr">
        <is>
          <t>2 active tabs</t>
        </is>
      </c>
      <c r="J65" s="28" t="inlineStr">
        <is>
          <t>Tab B automatically redirects to login screen</t>
        </is>
      </c>
      <c r="K65" s="28" t="inlineStr">
        <is>
          <t>As expected</t>
        </is>
      </c>
      <c r="L65" s="25" t="inlineStr">
        <is>
          <t>Pass</t>
        </is>
      </c>
      <c r="M65" s="27" t="inlineStr">
        <is>
          <t>Manual</t>
        </is>
      </c>
    </row>
    <row r="66">
      <c r="A66" s="22" t="inlineStr">
        <is>
          <t>TC_LOG_065</t>
        </is>
      </c>
      <c r="B66" s="23" t="inlineStr">
        <is>
          <t>Authentication</t>
        </is>
      </c>
      <c r="C66" s="24" t="inlineStr">
        <is>
          <t>Receiver Login &amp; Auth</t>
        </is>
      </c>
      <c r="D66" s="22" t="inlineStr">
        <is>
          <t>P2 - Medium</t>
        </is>
      </c>
      <c r="E66" s="23" t="inlineStr">
        <is>
          <t>Security</t>
        </is>
      </c>
      <c r="F66" s="24" t="inlineStr">
        <is>
          <t>Receiver Login - Receiver Session Expiry Prompt</t>
        </is>
      </c>
      <c r="G66" s="24" t="inlineStr">
        <is>
          <t>SHAREBITE app active on http://localhost:5173/login</t>
        </is>
      </c>
      <c r="H66" s="24" t="inlineStr">
        <is>
          <t>1. Navigate to /login. 2. Select Receiver role. 3. Wait for token expiry window. 4. Verify outcome.</t>
        </is>
      </c>
      <c r="I66" s="24" t="inlineStr">
        <is>
          <t>Token expiration</t>
        </is>
      </c>
      <c r="J66" s="24" t="inlineStr">
        <is>
          <t>Session expired dialog appears with login button</t>
        </is>
      </c>
      <c r="K66" s="24" t="inlineStr">
        <is>
          <t>As expected</t>
        </is>
      </c>
      <c r="L66" s="25" t="inlineStr">
        <is>
          <t>Pass</t>
        </is>
      </c>
      <c r="M66" s="23" t="inlineStr">
        <is>
          <t>Manual</t>
        </is>
      </c>
    </row>
    <row r="67">
      <c r="A67" s="26" t="inlineStr">
        <is>
          <t>TC_LOG_066</t>
        </is>
      </c>
      <c r="B67" s="27" t="inlineStr">
        <is>
          <t>Authentication</t>
        </is>
      </c>
      <c r="C67" s="28" t="inlineStr">
        <is>
          <t>Receiver Login &amp; Auth</t>
        </is>
      </c>
      <c r="D67" s="26" t="inlineStr">
        <is>
          <t>P2 - Medium</t>
        </is>
      </c>
      <c r="E67" s="27" t="inlineStr">
        <is>
          <t>UI/UX</t>
        </is>
      </c>
      <c r="F67" s="28" t="inlineStr">
        <is>
          <t>Receiver Login - Receiver Bearer Token Headers</t>
        </is>
      </c>
      <c r="G67" s="28" t="inlineStr">
        <is>
          <t>SHAREBITE app active on http://localhost:5173/login</t>
        </is>
      </c>
      <c r="H67" s="28" t="inlineStr">
        <is>
          <t>1. Navigate to /login. 2. Select Receiver role. 3. Verify network authorization headers. 4. Verify outcome.</t>
        </is>
      </c>
      <c r="I67" s="28" t="inlineStr">
        <is>
          <t>API Request headers</t>
        </is>
      </c>
      <c r="J67" s="28" t="inlineStr">
        <is>
          <t>Authorization: Bearer &lt;token&gt; present on requests</t>
        </is>
      </c>
      <c r="K67" s="28" t="inlineStr">
        <is>
          <t>As expected</t>
        </is>
      </c>
      <c r="L67" s="25" t="inlineStr">
        <is>
          <t>Pass</t>
        </is>
      </c>
      <c r="M67" s="27" t="inlineStr">
        <is>
          <t>Manual</t>
        </is>
      </c>
    </row>
    <row r="68">
      <c r="A68" s="22" t="inlineStr">
        <is>
          <t>TC_LOG_067</t>
        </is>
      </c>
      <c r="B68" s="23" t="inlineStr">
        <is>
          <t>Authentication</t>
        </is>
      </c>
      <c r="C68" s="24" t="inlineStr">
        <is>
          <t>Receiver Login &amp; Auth</t>
        </is>
      </c>
      <c r="D68" s="22" t="inlineStr">
        <is>
          <t>P2 - Medium</t>
        </is>
      </c>
      <c r="E68" s="23" t="inlineStr">
        <is>
          <t>Security</t>
        </is>
      </c>
      <c r="F68" s="24" t="inlineStr">
        <is>
          <t>Receiver Login - Receiver Route Guard Restriction</t>
        </is>
      </c>
      <c r="G68" s="24" t="inlineStr">
        <is>
          <t>SHAREBITE app active on http://localhost:5173/login</t>
        </is>
      </c>
      <c r="H68" s="24" t="inlineStr">
        <is>
          <t>1. Navigate to /login. 2. Select Receiver role. 3. Attempt donor route with receiver token. 4. Verify outcome.</t>
        </is>
      </c>
      <c r="I68" s="24" t="inlineStr">
        <is>
          <t>Receiver session</t>
        </is>
      </c>
      <c r="J68" s="24" t="inlineStr">
        <is>
          <t>Access denied, user redirected to receiver homepage</t>
        </is>
      </c>
      <c r="K68" s="24" t="inlineStr">
        <is>
          <t>As expected</t>
        </is>
      </c>
      <c r="L68" s="25" t="inlineStr">
        <is>
          <t>Pass</t>
        </is>
      </c>
      <c r="M68" s="23" t="inlineStr">
        <is>
          <t>Manual</t>
        </is>
      </c>
    </row>
    <row r="69">
      <c r="A69" s="26" t="inlineStr">
        <is>
          <t>TC_LOG_068</t>
        </is>
      </c>
      <c r="B69" s="27" t="inlineStr">
        <is>
          <t>Authentication</t>
        </is>
      </c>
      <c r="C69" s="28" t="inlineStr">
        <is>
          <t>Receiver Login &amp; Auth</t>
        </is>
      </c>
      <c r="D69" s="26" t="inlineStr">
        <is>
          <t>P2 - Medium</t>
        </is>
      </c>
      <c r="E69" s="27" t="inlineStr">
        <is>
          <t>UI/UX</t>
        </is>
      </c>
      <c r="F69" s="28" t="inlineStr">
        <is>
          <t>Receiver Login - Receiver Double Login Protection</t>
        </is>
      </c>
      <c r="G69" s="28" t="inlineStr">
        <is>
          <t>SHAREBITE app active on http://localhost:5173/login</t>
        </is>
      </c>
      <c r="H69" s="28" t="inlineStr">
        <is>
          <t>1. Navigate to /login. 2. Select Receiver role. 3. Attempt second login while already active. 4. Verify outcome.</t>
        </is>
      </c>
      <c r="I69" s="28" t="inlineStr">
        <is>
          <t>New tab /login</t>
        </is>
      </c>
      <c r="J69" s="28" t="inlineStr">
        <is>
          <t>App detects session and redirects to dashboard</t>
        </is>
      </c>
      <c r="K69" s="28" t="inlineStr">
        <is>
          <t>As expected</t>
        </is>
      </c>
      <c r="L69" s="25" t="inlineStr">
        <is>
          <t>Pass</t>
        </is>
      </c>
      <c r="M69" s="27" t="inlineStr">
        <is>
          <t>Manual</t>
        </is>
      </c>
    </row>
    <row r="70">
      <c r="A70" s="22" t="inlineStr">
        <is>
          <t>TC_LOG_069</t>
        </is>
      </c>
      <c r="B70" s="23" t="inlineStr">
        <is>
          <t>Authentication</t>
        </is>
      </c>
      <c r="C70" s="24" t="inlineStr">
        <is>
          <t>Receiver Login &amp; Auth</t>
        </is>
      </c>
      <c r="D70" s="22" t="inlineStr">
        <is>
          <t>P2 - Medium</t>
        </is>
      </c>
      <c r="E70" s="23" t="inlineStr">
        <is>
          <t>Security</t>
        </is>
      </c>
      <c r="F70" s="24" t="inlineStr">
        <is>
          <t>Receiver Login - Receiver Rate Limit Handling</t>
        </is>
      </c>
      <c r="G70" s="24" t="inlineStr">
        <is>
          <t>SHAREBITE app active on http://localhost:5173/login</t>
        </is>
      </c>
      <c r="H70" s="24" t="inlineStr">
        <is>
          <t>1. Navigate to /login. 2. Select Receiver role. 3. Submit login form 10 times in 5 seconds. 4. Verify outcome.</t>
        </is>
      </c>
      <c r="I70" s="24" t="inlineStr">
        <is>
          <t>Rapid submissions</t>
        </is>
      </c>
      <c r="J70" s="24" t="inlineStr">
        <is>
          <t>Rate limiter triggers friendly delay warning</t>
        </is>
      </c>
      <c r="K70" s="24" t="inlineStr">
        <is>
          <t>As expected</t>
        </is>
      </c>
      <c r="L70" s="25" t="inlineStr">
        <is>
          <t>Pass</t>
        </is>
      </c>
      <c r="M70" s="23" t="inlineStr">
        <is>
          <t>Manual</t>
        </is>
      </c>
    </row>
    <row r="71">
      <c r="A71" s="26" t="inlineStr">
        <is>
          <t>TC_LOG_070</t>
        </is>
      </c>
      <c r="B71" s="27" t="inlineStr">
        <is>
          <t>Authentication</t>
        </is>
      </c>
      <c r="C71" s="28" t="inlineStr">
        <is>
          <t>Receiver Login &amp; Auth</t>
        </is>
      </c>
      <c r="D71" s="26" t="inlineStr">
        <is>
          <t>P2 - Medium</t>
        </is>
      </c>
      <c r="E71" s="27" t="inlineStr">
        <is>
          <t>UI/UX</t>
        </is>
      </c>
      <c r="F71" s="28" t="inlineStr">
        <is>
          <t>Receiver Login - Receiver Login Response Performance</t>
        </is>
      </c>
      <c r="G71" s="28" t="inlineStr">
        <is>
          <t>SHAREBITE app active on http://localhost:5173/login</t>
        </is>
      </c>
      <c r="H71" s="28" t="inlineStr">
        <is>
          <t>1. Navigate to /login. 2. Select Receiver role. 3. Benchmark receiver auth latency. 4. Verify outcome.</t>
        </is>
      </c>
      <c r="I71" s="28" t="inlineStr">
        <is>
          <t>Performance analyzer</t>
        </is>
      </c>
      <c r="J71" s="28" t="inlineStr">
        <is>
          <t>Authentication response delivered in &lt; 400ms</t>
        </is>
      </c>
      <c r="K71" s="28" t="inlineStr">
        <is>
          <t>As expected</t>
        </is>
      </c>
      <c r="L71" s="25" t="inlineStr">
        <is>
          <t>Pass</t>
        </is>
      </c>
      <c r="M71" s="27" t="inlineStr">
        <is>
          <t>Manual</t>
        </is>
      </c>
    </row>
    <row r="72">
      <c r="A72" s="22" t="inlineStr">
        <is>
          <t>TC_LOG_071</t>
        </is>
      </c>
      <c r="B72" s="23" t="inlineStr">
        <is>
          <t>Authentication</t>
        </is>
      </c>
      <c r="C72" s="24" t="inlineStr">
        <is>
          <t>Input Validation &amp; Form Constraints</t>
        </is>
      </c>
      <c r="D72" s="22" t="inlineStr">
        <is>
          <t>P1 - High</t>
        </is>
      </c>
      <c r="E72" s="23" t="inlineStr">
        <is>
          <t>Functional</t>
        </is>
      </c>
      <c r="F72" s="24" t="inlineStr">
        <is>
          <t>Validation - Email Missing @ Symbol</t>
        </is>
      </c>
      <c r="G72" s="24" t="inlineStr">
        <is>
          <t>Login page loaded on http://localhost:5173/login</t>
        </is>
      </c>
      <c r="H72" s="24" t="inlineStr">
        <is>
          <t>1. Focus form inputs. 2. Enter test data 'user.sharebite.org'. 3. Observe validation feedback.</t>
        </is>
      </c>
      <c r="I72" s="24" t="inlineStr">
        <is>
          <t>user.sharebite.org</t>
        </is>
      </c>
      <c r="J72" s="24" t="inlineStr">
        <is>
          <t>HTML5 invalid email format alert</t>
        </is>
      </c>
      <c r="K72" s="24" t="inlineStr">
        <is>
          <t>As expected</t>
        </is>
      </c>
      <c r="L72" s="25" t="inlineStr">
        <is>
          <t>Pass</t>
        </is>
      </c>
      <c r="M72" s="23" t="inlineStr">
        <is>
          <t>Automated</t>
        </is>
      </c>
    </row>
    <row r="73">
      <c r="A73" s="26" t="inlineStr">
        <is>
          <t>TC_LOG_072</t>
        </is>
      </c>
      <c r="B73" s="27" t="inlineStr">
        <is>
          <t>Authentication</t>
        </is>
      </c>
      <c r="C73" s="28" t="inlineStr">
        <is>
          <t>Input Validation &amp; Form Constraints</t>
        </is>
      </c>
      <c r="D73" s="26" t="inlineStr">
        <is>
          <t>P1 - High</t>
        </is>
      </c>
      <c r="E73" s="27" t="inlineStr">
        <is>
          <t>Functional</t>
        </is>
      </c>
      <c r="F73" s="28" t="inlineStr">
        <is>
          <t>Validation - Email Missing Domain Extension</t>
        </is>
      </c>
      <c r="G73" s="28" t="inlineStr">
        <is>
          <t>Login page loaded on http://localhost:5173/login</t>
        </is>
      </c>
      <c r="H73" s="28" t="inlineStr">
        <is>
          <t>1. Focus form inputs. 2. Enter test data 'user@sharebite'. 3. Observe validation feedback.</t>
        </is>
      </c>
      <c r="I73" s="28" t="inlineStr">
        <is>
          <t>user@sharebite</t>
        </is>
      </c>
      <c r="J73" s="28" t="inlineStr">
        <is>
          <t>Form prompts valid domain suffix</t>
        </is>
      </c>
      <c r="K73" s="28" t="inlineStr">
        <is>
          <t>As expected</t>
        </is>
      </c>
      <c r="L73" s="25" t="inlineStr">
        <is>
          <t>Pass</t>
        </is>
      </c>
      <c r="M73" s="27" t="inlineStr">
        <is>
          <t>Automated</t>
        </is>
      </c>
    </row>
    <row r="74">
      <c r="A74" s="22" t="inlineStr">
        <is>
          <t>TC_LOG_073</t>
        </is>
      </c>
      <c r="B74" s="23" t="inlineStr">
        <is>
          <t>Authentication</t>
        </is>
      </c>
      <c r="C74" s="24" t="inlineStr">
        <is>
          <t>Input Validation &amp; Form Constraints</t>
        </is>
      </c>
      <c r="D74" s="22" t="inlineStr">
        <is>
          <t>P1 - High</t>
        </is>
      </c>
      <c r="E74" s="23" t="inlineStr">
        <is>
          <t>Functional</t>
        </is>
      </c>
      <c r="F74" s="24" t="inlineStr">
        <is>
          <t>Validation - Email Starting with Special Character</t>
        </is>
      </c>
      <c r="G74" s="24" t="inlineStr">
        <is>
          <t>Login page loaded on http://localhost:5173/login</t>
        </is>
      </c>
      <c r="H74" s="24" t="inlineStr">
        <is>
          <t>1. Focus form inputs. 2. Enter test data '.user@sharebite.org'. 3. Observe validation feedback.</t>
        </is>
      </c>
      <c r="I74" s="24" t="inlineStr">
        <is>
          <t>.user@sharebite.org</t>
        </is>
      </c>
      <c r="J74" s="24" t="inlineStr">
        <is>
          <t>Validation error for leading dot in email</t>
        </is>
      </c>
      <c r="K74" s="24" t="inlineStr">
        <is>
          <t>As expected</t>
        </is>
      </c>
      <c r="L74" s="25" t="inlineStr">
        <is>
          <t>Pass</t>
        </is>
      </c>
      <c r="M74" s="23" t="inlineStr">
        <is>
          <t>Automated</t>
        </is>
      </c>
    </row>
    <row r="75">
      <c r="A75" s="26" t="inlineStr">
        <is>
          <t>TC_LOG_074</t>
        </is>
      </c>
      <c r="B75" s="27" t="inlineStr">
        <is>
          <t>Authentication</t>
        </is>
      </c>
      <c r="C75" s="28" t="inlineStr">
        <is>
          <t>Input Validation &amp; Form Constraints</t>
        </is>
      </c>
      <c r="D75" s="26" t="inlineStr">
        <is>
          <t>P1 - High</t>
        </is>
      </c>
      <c r="E75" s="27" t="inlineStr">
        <is>
          <t>Functional</t>
        </is>
      </c>
      <c r="F75" s="28" t="inlineStr">
        <is>
          <t>Validation - Email Double @ Symbol</t>
        </is>
      </c>
      <c r="G75" s="28" t="inlineStr">
        <is>
          <t>Login page loaded on http://localhost:5173/login</t>
        </is>
      </c>
      <c r="H75" s="28" t="inlineStr">
        <is>
          <t>1. Focus form inputs. 2. Enter test data 'user@@sharebite.org'. 3. Observe validation feedback.</t>
        </is>
      </c>
      <c r="I75" s="28" t="inlineStr">
        <is>
          <t>user@@sharebite.org</t>
        </is>
      </c>
      <c r="J75" s="28" t="inlineStr">
        <is>
          <t>Validation error for double @ symbol</t>
        </is>
      </c>
      <c r="K75" s="28" t="inlineStr">
        <is>
          <t>As expected</t>
        </is>
      </c>
      <c r="L75" s="25" t="inlineStr">
        <is>
          <t>Pass</t>
        </is>
      </c>
      <c r="M75" s="27" t="inlineStr">
        <is>
          <t>Automated</t>
        </is>
      </c>
    </row>
    <row r="76">
      <c r="A76" s="22" t="inlineStr">
        <is>
          <t>TC_LOG_075</t>
        </is>
      </c>
      <c r="B76" s="23" t="inlineStr">
        <is>
          <t>Authentication</t>
        </is>
      </c>
      <c r="C76" s="24" t="inlineStr">
        <is>
          <t>Input Validation &amp; Form Constraints</t>
        </is>
      </c>
      <c r="D76" s="22" t="inlineStr">
        <is>
          <t>P1 - High</t>
        </is>
      </c>
      <c r="E76" s="23" t="inlineStr">
        <is>
          <t>Functional</t>
        </is>
      </c>
      <c r="F76" s="24" t="inlineStr">
        <is>
          <t>Validation - Email Spaces Inside Address</t>
        </is>
      </c>
      <c r="G76" s="24" t="inlineStr">
        <is>
          <t>Login page loaded on http://localhost:5173/login</t>
        </is>
      </c>
      <c r="H76" s="24" t="inlineStr">
        <is>
          <t>1. Focus form inputs. 2. Enter test data 'user name@sharebite.org'. 3. Observe validation feedback.</t>
        </is>
      </c>
      <c r="I76" s="24" t="inlineStr">
        <is>
          <t>user name@sharebite.org</t>
        </is>
      </c>
      <c r="J76" s="24" t="inlineStr">
        <is>
          <t>Validation error for spaces inside email</t>
        </is>
      </c>
      <c r="K76" s="24" t="inlineStr">
        <is>
          <t>As expected</t>
        </is>
      </c>
      <c r="L76" s="25" t="inlineStr">
        <is>
          <t>Pass</t>
        </is>
      </c>
      <c r="M76" s="23" t="inlineStr">
        <is>
          <t>Automated</t>
        </is>
      </c>
    </row>
    <row r="77">
      <c r="A77" s="26" t="inlineStr">
        <is>
          <t>TC_LOG_076</t>
        </is>
      </c>
      <c r="B77" s="27" t="inlineStr">
        <is>
          <t>Authentication</t>
        </is>
      </c>
      <c r="C77" s="28" t="inlineStr">
        <is>
          <t>Input Validation &amp; Form Constraints</t>
        </is>
      </c>
      <c r="D77" s="26" t="inlineStr">
        <is>
          <t>P1 - High</t>
        </is>
      </c>
      <c r="E77" s="27" t="inlineStr">
        <is>
          <t>Boundary</t>
        </is>
      </c>
      <c r="F77" s="28" t="inlineStr">
        <is>
          <t>Validation - Email Max Length Exceeded (255+ chars)</t>
        </is>
      </c>
      <c r="G77" s="28" t="inlineStr">
        <is>
          <t>Login page loaded on http://localhost:5173/login</t>
        </is>
      </c>
      <c r="H77" s="28" t="inlineStr">
        <is>
          <t>1. Focus form inputs. 2. Enter test data 'aaaaaaaaaaaaaaaaaaaaaaaaaaaaaaaaaaaaaaaaaaaaaaaaaaaaaaaaaaaaaaaaaaaaaaaaaaaaaaaaaaaaaaaaaaaaaaaaaaaaaaaaaaaaaaaaaaaaaaaaaaaaaaaaaaaaaaaaaaaaaaaaaaaaaaaaaaaaaaaaaaaaaaaaaaaaaaaaaaaaaaaaaaaaaaaaaaaaaaaaaaaaaaaaaaaaaaaaaaaaaaaaaaaaaaaaaaaaaaaaaaaaaaaaaa@sharebite.org'. 3. Observe validation feedback.</t>
        </is>
      </c>
      <c r="I77" s="2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aaaaaaaaaaaaaaaaaaaaaaaaaaaaaaaaaaaaaaaaaaaaaaaaaaaaaaaaaaaaaaaaaaaaaaaaaaaaaaaaaaaaaaaaaaaaaaaaaaaaaaaaaaaaaaaaaaaaaaaaaaaaaaaaaaaaaaaaaaaaaaaaaaaaaaaaaaaaaaaaaaaaaaaaaaaaaaaaaaaaaaaaaaaaaaaaaaaaaaaaaaaaaaaaaaaaaaaaaaaaaaaaaaaaaaaaaaaaaaaaaaaaaaaaaa@sharebite.org</t>
        </is>
      </c>
      <c r="J77" s="28" t="inlineStr">
        <is>
          <t>Form enforces max length constraint on email input</t>
        </is>
      </c>
      <c r="K77" s="28" t="inlineStr">
        <is>
          <t>As expected</t>
        </is>
      </c>
      <c r="L77" s="25" t="inlineStr">
        <is>
          <t>Pass</t>
        </is>
      </c>
      <c r="M77" s="27" t="inlineStr">
        <is>
          <t>Automated</t>
        </is>
      </c>
    </row>
    <row r="78">
      <c r="A78" s="22" t="inlineStr">
        <is>
          <t>TC_LOG_077</t>
        </is>
      </c>
      <c r="B78" s="23" t="inlineStr">
        <is>
          <t>Authentication</t>
        </is>
      </c>
      <c r="C78" s="24" t="inlineStr">
        <is>
          <t>Input Validation &amp; Form Constraints</t>
        </is>
      </c>
      <c r="D78" s="22" t="inlineStr">
        <is>
          <t>P1 - High</t>
        </is>
      </c>
      <c r="E78" s="23" t="inlineStr">
        <is>
          <t>Boundary</t>
        </is>
      </c>
      <c r="F78" s="24" t="inlineStr">
        <is>
          <t>Validation - Email Min Length (Single letter domain)</t>
        </is>
      </c>
      <c r="G78" s="24" t="inlineStr">
        <is>
          <t>Login page loaded on http://localhost:5173/login</t>
        </is>
      </c>
      <c r="H78" s="24" t="inlineStr">
        <is>
          <t>1. Focus form inputs. 2. Enter test data 'a@b.c'. 3. Observe validation feedback.</t>
        </is>
      </c>
      <c r="I78" s="24" t="inlineStr">
        <is>
          <t>a@b.c</t>
        </is>
      </c>
      <c r="J78" s="24" t="inlineStr">
        <is>
          <t>Valid minimal format accepted or flagged per rule</t>
        </is>
      </c>
      <c r="K78" s="24" t="inlineStr">
        <is>
          <t>As expected</t>
        </is>
      </c>
      <c r="L78" s="25" t="inlineStr">
        <is>
          <t>Pass</t>
        </is>
      </c>
      <c r="M78" s="23" t="inlineStr">
        <is>
          <t>Automated</t>
        </is>
      </c>
    </row>
    <row r="79">
      <c r="A79" s="26" t="inlineStr">
        <is>
          <t>TC_LOG_078</t>
        </is>
      </c>
      <c r="B79" s="27" t="inlineStr">
        <is>
          <t>Authentication</t>
        </is>
      </c>
      <c r="C79" s="28" t="inlineStr">
        <is>
          <t>Input Validation &amp; Form Constraints</t>
        </is>
      </c>
      <c r="D79" s="26" t="inlineStr">
        <is>
          <t>P1 - High</t>
        </is>
      </c>
      <c r="E79" s="27" t="inlineStr">
        <is>
          <t>Functional</t>
        </is>
      </c>
      <c r="F79" s="28" t="inlineStr">
        <is>
          <t>Validation - Email Unicode Characters</t>
        </is>
      </c>
      <c r="G79" s="28" t="inlineStr">
        <is>
          <t>Login page loaded on http://localhost:5173/login</t>
        </is>
      </c>
      <c r="H79" s="28" t="inlineStr">
        <is>
          <t>1. Focus form inputs. 2. Enter test data 'user@shårébíté.org'. 3. Observe validation feedback.</t>
        </is>
      </c>
      <c r="I79" s="28" t="inlineStr">
        <is>
          <t>user@shårébíté.org</t>
        </is>
      </c>
      <c r="J79" s="28" t="inlineStr">
        <is>
          <t>Unicode IDN email validation check</t>
        </is>
      </c>
      <c r="K79" s="28" t="inlineStr">
        <is>
          <t>As expected</t>
        </is>
      </c>
      <c r="L79" s="25" t="inlineStr">
        <is>
          <t>Pass</t>
        </is>
      </c>
      <c r="M79" s="27" t="inlineStr">
        <is>
          <t>Automated</t>
        </is>
      </c>
    </row>
    <row r="80">
      <c r="A80" s="22" t="inlineStr">
        <is>
          <t>TC_LOG_079</t>
        </is>
      </c>
      <c r="B80" s="23" t="inlineStr">
        <is>
          <t>Authentication</t>
        </is>
      </c>
      <c r="C80" s="24" t="inlineStr">
        <is>
          <t>Input Validation &amp; Form Constraints</t>
        </is>
      </c>
      <c r="D80" s="22" t="inlineStr">
        <is>
          <t>P1 - High</t>
        </is>
      </c>
      <c r="E80" s="23" t="inlineStr">
        <is>
          <t>Security</t>
        </is>
      </c>
      <c r="F80" s="24" t="inlineStr">
        <is>
          <t>Validation - Email SQL String Injections</t>
        </is>
      </c>
      <c r="G80" s="24" t="inlineStr">
        <is>
          <t>Login page loaded on http://localhost:5173/login</t>
        </is>
      </c>
      <c r="H80" s="24" t="inlineStr">
        <is>
          <t>1. Focus form inputs. 2. Enter test data 'admin' OR '1'='1'. 3. Observe validation feedback.</t>
        </is>
      </c>
      <c r="I80" s="24" t="inlineStr">
        <is>
          <t>admin' OR '1'='1</t>
        </is>
      </c>
      <c r="J80" s="24" t="inlineStr">
        <is>
          <t>Input sanitized, treated as raw string without execution</t>
        </is>
      </c>
      <c r="K80" s="24" t="inlineStr">
        <is>
          <t>As expected</t>
        </is>
      </c>
      <c r="L80" s="25" t="inlineStr">
        <is>
          <t>Pass</t>
        </is>
      </c>
      <c r="M80" s="23" t="inlineStr">
        <is>
          <t>Automated</t>
        </is>
      </c>
    </row>
    <row r="81">
      <c r="A81" s="26" t="inlineStr">
        <is>
          <t>TC_LOG_080</t>
        </is>
      </c>
      <c r="B81" s="27" t="inlineStr">
        <is>
          <t>Authentication</t>
        </is>
      </c>
      <c r="C81" s="28" t="inlineStr">
        <is>
          <t>Input Validation &amp; Form Constraints</t>
        </is>
      </c>
      <c r="D81" s="26" t="inlineStr">
        <is>
          <t>P1 - High</t>
        </is>
      </c>
      <c r="E81" s="27" t="inlineStr">
        <is>
          <t>Security</t>
        </is>
      </c>
      <c r="F81" s="28" t="inlineStr">
        <is>
          <t>Validation - Email Script Tag Injection</t>
        </is>
      </c>
      <c r="G81" s="28" t="inlineStr">
        <is>
          <t>Login page loaded on http://localhost:5173/login</t>
        </is>
      </c>
      <c r="H81" s="28" t="inlineStr">
        <is>
          <t>1. Focus form inputs. 2. Enter test data '&lt;script&gt;alert('xss')&lt;/script&gt;@test.com'. 3. Observe validation feedback.</t>
        </is>
      </c>
      <c r="I81" s="28" t="inlineStr">
        <is>
          <t>&lt;script&gt;alert('xss')&lt;/script&gt;@test.com</t>
        </is>
      </c>
      <c r="J81" s="28" t="inlineStr">
        <is>
          <t>Input escaped safely, no script execution</t>
        </is>
      </c>
      <c r="K81" s="28" t="inlineStr">
        <is>
          <t>As expected</t>
        </is>
      </c>
      <c r="L81" s="25" t="inlineStr">
        <is>
          <t>Pass</t>
        </is>
      </c>
      <c r="M81" s="27" t="inlineStr">
        <is>
          <t>Automated</t>
        </is>
      </c>
    </row>
    <row r="82">
      <c r="A82" s="22" t="inlineStr">
        <is>
          <t>TC_LOG_081</t>
        </is>
      </c>
      <c r="B82" s="23" t="inlineStr">
        <is>
          <t>Authentication</t>
        </is>
      </c>
      <c r="C82" s="24" t="inlineStr">
        <is>
          <t>Input Validation &amp; Form Constraints</t>
        </is>
      </c>
      <c r="D82" s="22" t="inlineStr">
        <is>
          <t>P1 - High</t>
        </is>
      </c>
      <c r="E82" s="23" t="inlineStr">
        <is>
          <t>Boundary</t>
        </is>
      </c>
      <c r="F82" s="24" t="inlineStr">
        <is>
          <t>Validation - Password Min Length (5 Characters)</t>
        </is>
      </c>
      <c r="G82" s="24" t="inlineStr">
        <is>
          <t>Login page loaded on http://localhost:5173/login</t>
        </is>
      </c>
      <c r="H82" s="24" t="inlineStr">
        <is>
          <t>1. Focus form inputs. 2. Enter test data '12345'. 3. Observe validation feedback.</t>
        </is>
      </c>
      <c r="I82" s="24" t="inlineStr">
        <is>
          <t>12345</t>
        </is>
      </c>
      <c r="J82" s="24" t="inlineStr">
        <is>
          <t>Error or attribute minlength=6 prevents submit</t>
        </is>
      </c>
      <c r="K82" s="24" t="inlineStr">
        <is>
          <t>As expected</t>
        </is>
      </c>
      <c r="L82" s="25" t="inlineStr">
        <is>
          <t>Pass</t>
        </is>
      </c>
      <c r="M82" s="23" t="inlineStr">
        <is>
          <t>Automated</t>
        </is>
      </c>
    </row>
    <row r="83">
      <c r="A83" s="26" t="inlineStr">
        <is>
          <t>TC_LOG_082</t>
        </is>
      </c>
      <c r="B83" s="27" t="inlineStr">
        <is>
          <t>Authentication</t>
        </is>
      </c>
      <c r="C83" s="28" t="inlineStr">
        <is>
          <t>Input Validation &amp; Form Constraints</t>
        </is>
      </c>
      <c r="D83" s="26" t="inlineStr">
        <is>
          <t>P1 - High</t>
        </is>
      </c>
      <c r="E83" s="27" t="inlineStr">
        <is>
          <t>Boundary</t>
        </is>
      </c>
      <c r="F83" s="28" t="inlineStr">
        <is>
          <t>Validation - Password Exact Min Length (6 Characters)</t>
        </is>
      </c>
      <c r="G83" s="28" t="inlineStr">
        <is>
          <t>Login page loaded on http://localhost:5173/login</t>
        </is>
      </c>
      <c r="H83" s="28" t="inlineStr">
        <is>
          <t>1. Focus form inputs. 2. Enter test data '123456'. 3. Observe validation feedback.</t>
        </is>
      </c>
      <c r="I83" s="28" t="inlineStr">
        <is>
          <t>123456</t>
        </is>
      </c>
      <c r="J83" s="28" t="inlineStr">
        <is>
          <t>Password constraint satisfied</t>
        </is>
      </c>
      <c r="K83" s="28" t="inlineStr">
        <is>
          <t>As expected</t>
        </is>
      </c>
      <c r="L83" s="25" t="inlineStr">
        <is>
          <t>Pass</t>
        </is>
      </c>
      <c r="M83" s="27" t="inlineStr">
        <is>
          <t>Automated</t>
        </is>
      </c>
    </row>
    <row r="84">
      <c r="A84" s="22" t="inlineStr">
        <is>
          <t>TC_LOG_083</t>
        </is>
      </c>
      <c r="B84" s="23" t="inlineStr">
        <is>
          <t>Authentication</t>
        </is>
      </c>
      <c r="C84" s="24" t="inlineStr">
        <is>
          <t>Input Validation &amp; Form Constraints</t>
        </is>
      </c>
      <c r="D84" s="22" t="inlineStr">
        <is>
          <t>P1 - High</t>
        </is>
      </c>
      <c r="E84" s="23" t="inlineStr">
        <is>
          <t>Boundary</t>
        </is>
      </c>
      <c r="F84" s="24" t="inlineStr">
        <is>
          <t>Validation - Password Max Length Boundary (128 Characters)</t>
        </is>
      </c>
      <c r="G84" s="24" t="inlineStr">
        <is>
          <t>Login page loaded on http://localhost:5173/login</t>
        </is>
      </c>
      <c r="H84" s="24" t="inlineStr">
        <is>
          <t>1. Focus form inputs. 2. Enter test data 'AAAAAAAAAAAAAAAAAAAAAAAAAAAAAAAAAAAAAAAAAAAAAAAAAAAAAAAAAAAAAAAAAAAAAAAAAAAAAAAAAAAAAAAAAAAAAAAAAAAAAAAAAAAAAAAAAAAAAAAAAAAAAAAA'. 3. Observe validation feedback.</t>
        </is>
      </c>
      <c r="I84" s="24" t="inlineStr">
        <is>
          <t>AAAAAAAAAAAAAAAAAAAAAAAAAAAAAAAAAAAAAAAAAAAAAAAAAAAAAAAAAAAAAAAAAAAAAAAAAAAAAAAAAAAAAAAAAAAAAAAAAAAAAAAAAAAAAAAAAAAAAAAAAAAAAAAA</t>
        </is>
      </c>
      <c r="J84" s="24" t="inlineStr">
        <is>
          <t>Input allowed up to 128 chars without UI break</t>
        </is>
      </c>
      <c r="K84" s="24" t="inlineStr">
        <is>
          <t>As expected</t>
        </is>
      </c>
      <c r="L84" s="25" t="inlineStr">
        <is>
          <t>Pass</t>
        </is>
      </c>
      <c r="M84" s="23" t="inlineStr">
        <is>
          <t>Automated</t>
        </is>
      </c>
    </row>
    <row r="85">
      <c r="A85" s="26" t="inlineStr">
        <is>
          <t>TC_LOG_084</t>
        </is>
      </c>
      <c r="B85" s="27" t="inlineStr">
        <is>
          <t>Authentication</t>
        </is>
      </c>
      <c r="C85" s="28" t="inlineStr">
        <is>
          <t>Input Validation &amp; Form Constraints</t>
        </is>
      </c>
      <c r="D85" s="26" t="inlineStr">
        <is>
          <t>P1 - High</t>
        </is>
      </c>
      <c r="E85" s="27" t="inlineStr">
        <is>
          <t>Functional</t>
        </is>
      </c>
      <c r="F85" s="28" t="inlineStr">
        <is>
          <t>Validation - Password Oversized Input (1000+ Chars)</t>
        </is>
      </c>
      <c r="G85" s="28" t="inlineStr">
        <is>
          <t>Login page loaded on http://localhost:5173/login</t>
        </is>
      </c>
      <c r="H85" s="28" t="inlineStr">
        <is>
          <t>1. Focus form inputs. 2. Enter test data '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'. 3. Observe validation feedback.</t>
        </is>
      </c>
      <c r="I85" s="28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J85" s="28" t="inlineStr">
        <is>
          <t>Input truncated or restricted smoothly</t>
        </is>
      </c>
      <c r="K85" s="28" t="inlineStr">
        <is>
          <t>As expected</t>
        </is>
      </c>
      <c r="L85" s="25" t="inlineStr">
        <is>
          <t>Pass</t>
        </is>
      </c>
      <c r="M85" s="27" t="inlineStr">
        <is>
          <t>Automated</t>
        </is>
      </c>
    </row>
    <row r="86">
      <c r="A86" s="22" t="inlineStr">
        <is>
          <t>TC_LOG_085</t>
        </is>
      </c>
      <c r="B86" s="23" t="inlineStr">
        <is>
          <t>Authentication</t>
        </is>
      </c>
      <c r="C86" s="24" t="inlineStr">
        <is>
          <t>Input Validation &amp; Form Constraints</t>
        </is>
      </c>
      <c r="D86" s="22" t="inlineStr">
        <is>
          <t>P1 - High</t>
        </is>
      </c>
      <c r="E86" s="23" t="inlineStr">
        <is>
          <t>Functional</t>
        </is>
      </c>
      <c r="F86" s="24" t="inlineStr">
        <is>
          <t>Validation - Password Only Spaces</t>
        </is>
      </c>
      <c r="G86" s="24" t="inlineStr">
        <is>
          <t>Login page loaded on http://localhost:5173/login</t>
        </is>
      </c>
      <c r="H86" s="24" t="inlineStr">
        <is>
          <t>1. Focus form inputs. 2. Enter test data '      '. 3. Observe validation feedback.</t>
        </is>
      </c>
      <c r="I86" s="24" t="inlineStr">
        <is>
          <t>      </t>
        </is>
      </c>
      <c r="J86" s="24" t="inlineStr">
        <is>
          <t>Form rejects whitespace-only passwords</t>
        </is>
      </c>
      <c r="K86" s="24" t="inlineStr">
        <is>
          <t>As expected</t>
        </is>
      </c>
      <c r="L86" s="25" t="inlineStr">
        <is>
          <t>Pass</t>
        </is>
      </c>
      <c r="M86" s="23" t="inlineStr">
        <is>
          <t>Automated</t>
        </is>
      </c>
    </row>
    <row r="87">
      <c r="A87" s="26" t="inlineStr">
        <is>
          <t>TC_LOG_086</t>
        </is>
      </c>
      <c r="B87" s="27" t="inlineStr">
        <is>
          <t>Authentication</t>
        </is>
      </c>
      <c r="C87" s="28" t="inlineStr">
        <is>
          <t>Input Validation &amp; Form Constraints</t>
        </is>
      </c>
      <c r="D87" s="26" t="inlineStr">
        <is>
          <t>P1 - High</t>
        </is>
      </c>
      <c r="E87" s="27" t="inlineStr">
        <is>
          <t>Functional</t>
        </is>
      </c>
      <c r="F87" s="28" t="inlineStr">
        <is>
          <t>Validation - Password Leading Whitespace</t>
        </is>
      </c>
      <c r="G87" s="28" t="inlineStr">
        <is>
          <t>Login page loaded on http://localhost:5173/login</t>
        </is>
      </c>
      <c r="H87" s="28" t="inlineStr">
        <is>
          <t>1. Focus form inputs. 2. Enter test data '  pass123'. 3. Observe validation feedback.</t>
        </is>
      </c>
      <c r="I87" s="28" t="inlineStr">
        <is>
          <t xml:space="preserve">  pass123</t>
        </is>
      </c>
      <c r="J87" s="28" t="inlineStr">
        <is>
          <t>Preserves leading whitespace or trims according to policy</t>
        </is>
      </c>
      <c r="K87" s="28" t="inlineStr">
        <is>
          <t>As expected</t>
        </is>
      </c>
      <c r="L87" s="25" t="inlineStr">
        <is>
          <t>Pass</t>
        </is>
      </c>
      <c r="M87" s="27" t="inlineStr">
        <is>
          <t>Automated</t>
        </is>
      </c>
    </row>
    <row r="88">
      <c r="A88" s="22" t="inlineStr">
        <is>
          <t>TC_LOG_087</t>
        </is>
      </c>
      <c r="B88" s="23" t="inlineStr">
        <is>
          <t>Authentication</t>
        </is>
      </c>
      <c r="C88" s="24" t="inlineStr">
        <is>
          <t>Input Validation &amp; Form Constraints</t>
        </is>
      </c>
      <c r="D88" s="22" t="inlineStr">
        <is>
          <t>P1 - High</t>
        </is>
      </c>
      <c r="E88" s="23" t="inlineStr">
        <is>
          <t>Functional</t>
        </is>
      </c>
      <c r="F88" s="24" t="inlineStr">
        <is>
          <t>Validation - Password Trailing Whitespace</t>
        </is>
      </c>
      <c r="G88" s="24" t="inlineStr">
        <is>
          <t>Login page loaded on http://localhost:5173/login</t>
        </is>
      </c>
      <c r="H88" s="24" t="inlineStr">
        <is>
          <t>1. Focus form inputs. 2. Enter test data 'pass123  '. 3. Observe validation feedback.</t>
        </is>
      </c>
      <c r="I88" s="24" t="inlineStr">
        <is>
          <t xml:space="preserve">pass123  </t>
        </is>
      </c>
      <c r="J88" s="24" t="inlineStr">
        <is>
          <t>Preserves trailing whitespace or trims per spec</t>
        </is>
      </c>
      <c r="K88" s="24" t="inlineStr">
        <is>
          <t>As expected</t>
        </is>
      </c>
      <c r="L88" s="25" t="inlineStr">
        <is>
          <t>Pass</t>
        </is>
      </c>
      <c r="M88" s="23" t="inlineStr">
        <is>
          <t>Automated</t>
        </is>
      </c>
    </row>
    <row r="89">
      <c r="A89" s="26" t="inlineStr">
        <is>
          <t>TC_LOG_088</t>
        </is>
      </c>
      <c r="B89" s="27" t="inlineStr">
        <is>
          <t>Authentication</t>
        </is>
      </c>
      <c r="C89" s="28" t="inlineStr">
        <is>
          <t>Input Validation &amp; Form Constraints</t>
        </is>
      </c>
      <c r="D89" s="26" t="inlineStr">
        <is>
          <t>P1 - High</t>
        </is>
      </c>
      <c r="E89" s="27" t="inlineStr">
        <is>
          <t>Functional</t>
        </is>
      </c>
      <c r="F89" s="28" t="inlineStr">
        <is>
          <t>Validation - Password Special Characters (!@#$%^&amp;*)</t>
        </is>
      </c>
      <c r="G89" s="28" t="inlineStr">
        <is>
          <t>Login page loaded on http://localhost:5173/login</t>
        </is>
      </c>
      <c r="H89" s="28" t="inlineStr">
        <is>
          <t>1. Focus form inputs. 2. Enter test data 'P@ssw0rd!#$'. 3. Observe validation feedback.</t>
        </is>
      </c>
      <c r="I89" s="28" t="inlineStr">
        <is>
          <t>P@ssw0rd!#$</t>
        </is>
      </c>
      <c r="J89" s="28" t="inlineStr">
        <is>
          <t>Special characters handled correctly in payload</t>
        </is>
      </c>
      <c r="K89" s="28" t="inlineStr">
        <is>
          <t>As expected</t>
        </is>
      </c>
      <c r="L89" s="25" t="inlineStr">
        <is>
          <t>Pass</t>
        </is>
      </c>
      <c r="M89" s="27" t="inlineStr">
        <is>
          <t>Automated</t>
        </is>
      </c>
    </row>
    <row r="90">
      <c r="A90" s="22" t="inlineStr">
        <is>
          <t>TC_LOG_089</t>
        </is>
      </c>
      <c r="B90" s="23" t="inlineStr">
        <is>
          <t>Authentication</t>
        </is>
      </c>
      <c r="C90" s="24" t="inlineStr">
        <is>
          <t>Input Validation &amp; Form Constraints</t>
        </is>
      </c>
      <c r="D90" s="22" t="inlineStr">
        <is>
          <t>P1 - High</t>
        </is>
      </c>
      <c r="E90" s="23" t="inlineStr">
        <is>
          <t>Functional</t>
        </is>
      </c>
      <c r="F90" s="24" t="inlineStr">
        <is>
          <t>Validation - Password Non-ASCII / Emojis</t>
        </is>
      </c>
      <c r="G90" s="24" t="inlineStr">
        <is>
          <t>Login page loaded on http://localhost:5173/login</t>
        </is>
      </c>
      <c r="H90" s="24" t="inlineStr">
        <is>
          <t>1. Focus form inputs. 2. Enter test data 'Pass🔑123!🍔'. 3. Observe validation feedback.</t>
        </is>
      </c>
      <c r="I90" s="24" t="inlineStr">
        <is>
          <t>Pass🔑123!🍔</t>
        </is>
      </c>
      <c r="J90" s="24" t="inlineStr">
        <is>
          <t>UTF-8 emoji password string supported</t>
        </is>
      </c>
      <c r="K90" s="24" t="inlineStr">
        <is>
          <t>As expected</t>
        </is>
      </c>
      <c r="L90" s="25" t="inlineStr">
        <is>
          <t>Pass</t>
        </is>
      </c>
      <c r="M90" s="23" t="inlineStr">
        <is>
          <t>Automated</t>
        </is>
      </c>
    </row>
    <row r="91">
      <c r="A91" s="26" t="inlineStr">
        <is>
          <t>TC_LOG_090</t>
        </is>
      </c>
      <c r="B91" s="27" t="inlineStr">
        <is>
          <t>Authentication</t>
        </is>
      </c>
      <c r="C91" s="28" t="inlineStr">
        <is>
          <t>Input Validation &amp; Form Constraints</t>
        </is>
      </c>
      <c r="D91" s="26" t="inlineStr">
        <is>
          <t>P1 - High</t>
        </is>
      </c>
      <c r="E91" s="27" t="inlineStr">
        <is>
          <t>Functional</t>
        </is>
      </c>
      <c r="F91" s="28" t="inlineStr">
        <is>
          <t>Validation - Password HTML Encoded Payload</t>
        </is>
      </c>
      <c r="G91" s="28" t="inlineStr">
        <is>
          <t>Login page loaded on http://localhost:5173/login</t>
        </is>
      </c>
      <c r="H91" s="28" t="inlineStr">
        <is>
          <t>1. Focus form inputs. 2. Enter test data '&lt;b&gt;password&lt;/b&gt;'. 3. Observe validation feedback.</t>
        </is>
      </c>
      <c r="I91" s="28" t="inlineStr">
        <is>
          <t>&lt;b&gt;password&lt;/b&gt;</t>
        </is>
      </c>
      <c r="J91" s="28" t="inlineStr">
        <is>
          <t>Rendered as plaintext, no HTML parsing</t>
        </is>
      </c>
      <c r="K91" s="28" t="inlineStr">
        <is>
          <t>As expected</t>
        </is>
      </c>
      <c r="L91" s="25" t="inlineStr">
        <is>
          <t>Pass</t>
        </is>
      </c>
      <c r="M91" s="27" t="inlineStr">
        <is>
          <t>Automated</t>
        </is>
      </c>
    </row>
    <row r="92">
      <c r="A92" s="22" t="inlineStr">
        <is>
          <t>TC_LOG_091</t>
        </is>
      </c>
      <c r="B92" s="23" t="inlineStr">
        <is>
          <t>Authentication</t>
        </is>
      </c>
      <c r="C92" s="24" t="inlineStr">
        <is>
          <t>Input Validation &amp; Form Constraints</t>
        </is>
      </c>
      <c r="D92" s="22" t="inlineStr">
        <is>
          <t>P1 - High</t>
        </is>
      </c>
      <c r="E92" s="23" t="inlineStr">
        <is>
          <t>Functional</t>
        </is>
      </c>
      <c r="F92" s="24" t="inlineStr">
        <is>
          <t>Validation - Field Tab Navigation Order</t>
        </is>
      </c>
      <c r="G92" s="24" t="inlineStr">
        <is>
          <t>Login page loaded on http://localhost:5173/login</t>
        </is>
      </c>
      <c r="H92" s="24" t="inlineStr">
        <is>
          <t>1. Focus form inputs. 2. Enter test data 'Press Tab key repeatedly'. 3. Observe validation feedback.</t>
        </is>
      </c>
      <c r="I92" s="24" t="inlineStr">
        <is>
          <t>Press Tab key repeatedly</t>
        </is>
      </c>
      <c r="J92" s="24" t="inlineStr">
        <is>
          <t>Focus moves sequentially: Donor -&gt; Receiver -&gt; Email -&gt; Password -&gt; Submit</t>
        </is>
      </c>
      <c r="K92" s="24" t="inlineStr">
        <is>
          <t>As expected</t>
        </is>
      </c>
      <c r="L92" s="25" t="inlineStr">
        <is>
          <t>Pass</t>
        </is>
      </c>
      <c r="M92" s="23" t="inlineStr">
        <is>
          <t>Automated</t>
        </is>
      </c>
    </row>
    <row r="93">
      <c r="A93" s="26" t="inlineStr">
        <is>
          <t>TC_LOG_092</t>
        </is>
      </c>
      <c r="B93" s="27" t="inlineStr">
        <is>
          <t>Authentication</t>
        </is>
      </c>
      <c r="C93" s="28" t="inlineStr">
        <is>
          <t>Input Validation &amp; Form Constraints</t>
        </is>
      </c>
      <c r="D93" s="26" t="inlineStr">
        <is>
          <t>P1 - High</t>
        </is>
      </c>
      <c r="E93" s="27" t="inlineStr">
        <is>
          <t>Functional</t>
        </is>
      </c>
      <c r="F93" s="28" t="inlineStr">
        <is>
          <t>Validation - Field Shift-Tab Reverse Navigation</t>
        </is>
      </c>
      <c r="G93" s="28" t="inlineStr">
        <is>
          <t>Login page loaded on http://localhost:5173/login</t>
        </is>
      </c>
      <c r="H93" s="28" t="inlineStr">
        <is>
          <t>1. Focus form inputs. 2. Enter test data 'Press Shift+Tab repeatedly'. 3. Observe validation feedback.</t>
        </is>
      </c>
      <c r="I93" s="28" t="inlineStr">
        <is>
          <t>Press Shift+Tab repeatedly</t>
        </is>
      </c>
      <c r="J93" s="28" t="inlineStr">
        <is>
          <t>Focus moves backward cleanly through form elements</t>
        </is>
      </c>
      <c r="K93" s="28" t="inlineStr">
        <is>
          <t>As expected</t>
        </is>
      </c>
      <c r="L93" s="25" t="inlineStr">
        <is>
          <t>Pass</t>
        </is>
      </c>
      <c r="M93" s="27" t="inlineStr">
        <is>
          <t>Automated</t>
        </is>
      </c>
    </row>
    <row r="94">
      <c r="A94" s="22" t="inlineStr">
        <is>
          <t>TC_LOG_093</t>
        </is>
      </c>
      <c r="B94" s="23" t="inlineStr">
        <is>
          <t>Authentication</t>
        </is>
      </c>
      <c r="C94" s="24" t="inlineStr">
        <is>
          <t>Input Validation &amp; Form Constraints</t>
        </is>
      </c>
      <c r="D94" s="22" t="inlineStr">
        <is>
          <t>P1 - High</t>
        </is>
      </c>
      <c r="E94" s="23" t="inlineStr">
        <is>
          <t>Functional</t>
        </is>
      </c>
      <c r="F94" s="24" t="inlineStr">
        <is>
          <t>Validation - Auto-complete Attribute Check</t>
        </is>
      </c>
      <c r="G94" s="24" t="inlineStr">
        <is>
          <t>Login page loaded on http://localhost:5173/login</t>
        </is>
      </c>
      <c r="H94" s="24" t="inlineStr">
        <is>
          <t>1. Focus form inputs. 2. Enter test data 'Inspect email and password autocomplete attributes'. 3. Observe validation feedback.</t>
        </is>
      </c>
      <c r="I94" s="24" t="inlineStr">
        <is>
          <t>Inspect email and password autocomplete attributes</t>
        </is>
      </c>
      <c r="J94" s="24" t="inlineStr">
        <is>
          <t>email has autocomplete='email', password has autocomplete='current-password'</t>
        </is>
      </c>
      <c r="K94" s="24" t="inlineStr">
        <is>
          <t>As expected</t>
        </is>
      </c>
      <c r="L94" s="25" t="inlineStr">
        <is>
          <t>Pass</t>
        </is>
      </c>
      <c r="M94" s="23" t="inlineStr">
        <is>
          <t>Automated</t>
        </is>
      </c>
    </row>
    <row r="95">
      <c r="A95" s="26" t="inlineStr">
        <is>
          <t>TC_LOG_094</t>
        </is>
      </c>
      <c r="B95" s="27" t="inlineStr">
        <is>
          <t>Authentication</t>
        </is>
      </c>
      <c r="C95" s="28" t="inlineStr">
        <is>
          <t>Input Validation &amp; Form Constraints</t>
        </is>
      </c>
      <c r="D95" s="26" t="inlineStr">
        <is>
          <t>P1 - High</t>
        </is>
      </c>
      <c r="E95" s="27" t="inlineStr">
        <is>
          <t>Functional</t>
        </is>
      </c>
      <c r="F95" s="28" t="inlineStr">
        <is>
          <t>Validation - Input Copy-Paste Disabled Check</t>
        </is>
      </c>
      <c r="G95" s="28" t="inlineStr">
        <is>
          <t>Login page loaded on http://localhost:5173/login</t>
        </is>
      </c>
      <c r="H95" s="28" t="inlineStr">
        <is>
          <t>1. Focus form inputs. 2. Enter test data 'Paste credentials into inputs'. 3. Observe validation feedback.</t>
        </is>
      </c>
      <c r="I95" s="28" t="inlineStr">
        <is>
          <t>Paste credentials into inputs</t>
        </is>
      </c>
      <c r="J95" s="28" t="inlineStr">
        <is>
          <t>Paste permitted for password manager compatibility</t>
        </is>
      </c>
      <c r="K95" s="28" t="inlineStr">
        <is>
          <t>As expected</t>
        </is>
      </c>
      <c r="L95" s="25" t="inlineStr">
        <is>
          <t>Pass</t>
        </is>
      </c>
      <c r="M95" s="27" t="inlineStr">
        <is>
          <t>Automated</t>
        </is>
      </c>
    </row>
    <row r="96">
      <c r="A96" s="22" t="inlineStr">
        <is>
          <t>TC_LOG_095</t>
        </is>
      </c>
      <c r="B96" s="23" t="inlineStr">
        <is>
          <t>Authentication</t>
        </is>
      </c>
      <c r="C96" s="24" t="inlineStr">
        <is>
          <t>Input Validation &amp; Form Constraints</t>
        </is>
      </c>
      <c r="D96" s="22" t="inlineStr">
        <is>
          <t>P1 - High</t>
        </is>
      </c>
      <c r="E96" s="23" t="inlineStr">
        <is>
          <t>Functional</t>
        </is>
      </c>
      <c r="F96" s="24" t="inlineStr">
        <is>
          <t>Validation - Input Cut Action in Password Field</t>
        </is>
      </c>
      <c r="G96" s="24" t="inlineStr">
        <is>
          <t>Login page loaded on http://localhost:5173/login</t>
        </is>
      </c>
      <c r="H96" s="24" t="inlineStr">
        <is>
          <t>1. Focus form inputs. 2. Enter test data 'Try to cut text from password input'. 3. Observe validation feedback.</t>
        </is>
      </c>
      <c r="I96" s="24" t="inlineStr">
        <is>
          <t>Try to cut text from password input</t>
        </is>
      </c>
      <c r="J96" s="24" t="inlineStr">
        <is>
          <t>Cut disabled or masked for security</t>
        </is>
      </c>
      <c r="K96" s="24" t="inlineStr">
        <is>
          <t>As expected</t>
        </is>
      </c>
      <c r="L96" s="25" t="inlineStr">
        <is>
          <t>Pass</t>
        </is>
      </c>
      <c r="M96" s="23" t="inlineStr">
        <is>
          <t>Automated</t>
        </is>
      </c>
    </row>
    <row r="97">
      <c r="A97" s="26" t="inlineStr">
        <is>
          <t>TC_LOG_096</t>
        </is>
      </c>
      <c r="B97" s="27" t="inlineStr">
        <is>
          <t>Authentication</t>
        </is>
      </c>
      <c r="C97" s="28" t="inlineStr">
        <is>
          <t>Input Validation &amp; Form Constraints</t>
        </is>
      </c>
      <c r="D97" s="26" t="inlineStr">
        <is>
          <t>P2 - Medium</t>
        </is>
      </c>
      <c r="E97" s="27" t="inlineStr">
        <is>
          <t>Functional</t>
        </is>
      </c>
      <c r="F97" s="28" t="inlineStr">
        <is>
          <t>Validation - Field Placeholder Text Visibility</t>
        </is>
      </c>
      <c r="G97" s="28" t="inlineStr">
        <is>
          <t>Login page loaded on http://localhost:5173/login</t>
        </is>
      </c>
      <c r="H97" s="28" t="inlineStr">
        <is>
          <t>1. Focus form inputs. 2. Enter test data 'Inspect empty input fields'. 3. Observe validation feedback.</t>
        </is>
      </c>
      <c r="I97" s="28" t="inlineStr">
        <is>
          <t>Inspect empty input fields</t>
        </is>
      </c>
      <c r="J97" s="28" t="inlineStr">
        <is>
          <t>Email placeholder 'Email address', Password placeholder 'Password' visible</t>
        </is>
      </c>
      <c r="K97" s="28" t="inlineStr">
        <is>
          <t>As expected</t>
        </is>
      </c>
      <c r="L97" s="25" t="inlineStr">
        <is>
          <t>Pass</t>
        </is>
      </c>
      <c r="M97" s="27" t="inlineStr">
        <is>
          <t>Automated</t>
        </is>
      </c>
    </row>
    <row r="98">
      <c r="A98" s="22" t="inlineStr">
        <is>
          <t>TC_LOG_097</t>
        </is>
      </c>
      <c r="B98" s="23" t="inlineStr">
        <is>
          <t>Authentication</t>
        </is>
      </c>
      <c r="C98" s="24" t="inlineStr">
        <is>
          <t>Input Validation &amp; Form Constraints</t>
        </is>
      </c>
      <c r="D98" s="22" t="inlineStr">
        <is>
          <t>P2 - Medium</t>
        </is>
      </c>
      <c r="E98" s="23" t="inlineStr">
        <is>
          <t>Functional</t>
        </is>
      </c>
      <c r="F98" s="24" t="inlineStr">
        <is>
          <t>Validation - Placeholder Contrast Ratio</t>
        </is>
      </c>
      <c r="G98" s="24" t="inlineStr">
        <is>
          <t>Login page loaded on http://localhost:5173/login</t>
        </is>
      </c>
      <c r="H98" s="24" t="inlineStr">
        <is>
          <t>1. Focus form inputs. 2. Enter test data 'Measure placeholder gray text contrast'. 3. Observe validation feedback.</t>
        </is>
      </c>
      <c r="I98" s="24" t="inlineStr">
        <is>
          <t>Measure placeholder gray text contrast</t>
        </is>
      </c>
      <c r="J98" s="24" t="inlineStr">
        <is>
          <t>Contrast complies with WCAG AA guidelines</t>
        </is>
      </c>
      <c r="K98" s="24" t="inlineStr">
        <is>
          <t>As expected</t>
        </is>
      </c>
      <c r="L98" s="25" t="inlineStr">
        <is>
          <t>Pass</t>
        </is>
      </c>
      <c r="M98" s="23" t="inlineStr">
        <is>
          <t>Automated</t>
        </is>
      </c>
    </row>
    <row r="99">
      <c r="A99" s="26" t="inlineStr">
        <is>
          <t>TC_LOG_098</t>
        </is>
      </c>
      <c r="B99" s="27" t="inlineStr">
        <is>
          <t>Authentication</t>
        </is>
      </c>
      <c r="C99" s="28" t="inlineStr">
        <is>
          <t>Input Validation &amp; Form Constraints</t>
        </is>
      </c>
      <c r="D99" s="26" t="inlineStr">
        <is>
          <t>P2 - Medium</t>
        </is>
      </c>
      <c r="E99" s="27" t="inlineStr">
        <is>
          <t>Functional</t>
        </is>
      </c>
      <c r="F99" s="28" t="inlineStr">
        <is>
          <t>Validation - Field Focus Outline Highlight</t>
        </is>
      </c>
      <c r="G99" s="28" t="inlineStr">
        <is>
          <t>Login page loaded on http://localhost:5173/login</t>
        </is>
      </c>
      <c r="H99" s="28" t="inlineStr">
        <is>
          <t>1. Focus form inputs. 2. Enter test data 'Focus email field'. 3. Observe validation feedback.</t>
        </is>
      </c>
      <c r="I99" s="28" t="inlineStr">
        <is>
          <t>Focus email field</t>
        </is>
      </c>
      <c r="J99" s="28" t="inlineStr">
        <is>
          <t>Brand blue/teal ring focus outline rendered</t>
        </is>
      </c>
      <c r="K99" s="28" t="inlineStr">
        <is>
          <t>As expected</t>
        </is>
      </c>
      <c r="L99" s="25" t="inlineStr">
        <is>
          <t>Pass</t>
        </is>
      </c>
      <c r="M99" s="27" t="inlineStr">
        <is>
          <t>Automated</t>
        </is>
      </c>
    </row>
    <row r="100">
      <c r="A100" s="22" t="inlineStr">
        <is>
          <t>TC_LOG_099</t>
        </is>
      </c>
      <c r="B100" s="23" t="inlineStr">
        <is>
          <t>Authentication</t>
        </is>
      </c>
      <c r="C100" s="24" t="inlineStr">
        <is>
          <t>Input Validation &amp; Form Constraints</t>
        </is>
      </c>
      <c r="D100" s="22" t="inlineStr">
        <is>
          <t>P2 - Medium</t>
        </is>
      </c>
      <c r="E100" s="23" t="inlineStr">
        <is>
          <t>Functional</t>
        </is>
      </c>
      <c r="F100" s="24" t="inlineStr">
        <is>
          <t>Validation - Field Error Border Style</t>
        </is>
      </c>
      <c r="G100" s="24" t="inlineStr">
        <is>
          <t>Login page loaded on http://localhost:5173/login</t>
        </is>
      </c>
      <c r="H100" s="24" t="inlineStr">
        <is>
          <t>1. Focus form inputs. 2. Enter test data 'Trigger validation error on field'. 3. Observe validation feedback.</t>
        </is>
      </c>
      <c r="I100" s="24" t="inlineStr">
        <is>
          <t>Trigger validation error on field</t>
        </is>
      </c>
      <c r="J100" s="24" t="inlineStr">
        <is>
          <t>Border turns red with error shadow ring</t>
        </is>
      </c>
      <c r="K100" s="24" t="inlineStr">
        <is>
          <t>As expected</t>
        </is>
      </c>
      <c r="L100" s="25" t="inlineStr">
        <is>
          <t>Pass</t>
        </is>
      </c>
      <c r="M100" s="23" t="inlineStr">
        <is>
          <t>Manual</t>
        </is>
      </c>
    </row>
    <row r="101">
      <c r="A101" s="26" t="inlineStr">
        <is>
          <t>TC_LOG_100</t>
        </is>
      </c>
      <c r="B101" s="27" t="inlineStr">
        <is>
          <t>Authentication</t>
        </is>
      </c>
      <c r="C101" s="28" t="inlineStr">
        <is>
          <t>Input Validation &amp; Form Constraints</t>
        </is>
      </c>
      <c r="D101" s="26" t="inlineStr">
        <is>
          <t>P2 - Medium</t>
        </is>
      </c>
      <c r="E101" s="27" t="inlineStr">
        <is>
          <t>Functional</t>
        </is>
      </c>
      <c r="F101" s="28" t="inlineStr">
        <is>
          <t>Validation - Input Clear Button Accessibility</t>
        </is>
      </c>
      <c r="G101" s="28" t="inlineStr">
        <is>
          <t>Login page loaded on http://localhost:5173/login</t>
        </is>
      </c>
      <c r="H101" s="28" t="inlineStr">
        <is>
          <t>1. Focus form inputs. 2. Enter test data 'Clear input field using clear button/keyboard'. 3. Observe validation feedback.</t>
        </is>
      </c>
      <c r="I101" s="28" t="inlineStr">
        <is>
          <t>Clear input field using clear button/keyboard</t>
        </is>
      </c>
      <c r="J101" s="28" t="inlineStr">
        <is>
          <t>Field empties cleanly</t>
        </is>
      </c>
      <c r="K101" s="28" t="inlineStr">
        <is>
          <t>As expected</t>
        </is>
      </c>
      <c r="L101" s="25" t="inlineStr">
        <is>
          <t>Pass</t>
        </is>
      </c>
      <c r="M101" s="27" t="inlineStr">
        <is>
          <t>Manual</t>
        </is>
      </c>
    </row>
    <row r="102">
      <c r="A102" s="22" t="inlineStr">
        <is>
          <t>TC_LOG_101</t>
        </is>
      </c>
      <c r="B102" s="23" t="inlineStr">
        <is>
          <t>Authentication</t>
        </is>
      </c>
      <c r="C102" s="24" t="inlineStr">
        <is>
          <t>Input Validation &amp; Form Constraints</t>
        </is>
      </c>
      <c r="D102" s="22" t="inlineStr">
        <is>
          <t>P2 - Medium</t>
        </is>
      </c>
      <c r="E102" s="23" t="inlineStr">
        <is>
          <t>Functional</t>
        </is>
      </c>
      <c r="F102" s="24" t="inlineStr">
        <is>
          <t>Validation - Registration Full Name Field Required</t>
        </is>
      </c>
      <c r="G102" s="24" t="inlineStr">
        <is>
          <t>Login page loaded on http://localhost:5173/login</t>
        </is>
      </c>
      <c r="H102" s="24" t="inlineStr">
        <is>
          <t>1. Focus form inputs. 2. Enter test data 'Toggle to Sign Up mode and leave name blank'. 3. Observe validation feedback.</t>
        </is>
      </c>
      <c r="I102" s="24" t="inlineStr">
        <is>
          <t>Toggle to Sign Up mode and leave name blank</t>
        </is>
      </c>
      <c r="J102" s="24" t="inlineStr">
        <is>
          <t>Required error shown for Full Name</t>
        </is>
      </c>
      <c r="K102" s="24" t="inlineStr">
        <is>
          <t>As expected</t>
        </is>
      </c>
      <c r="L102" s="25" t="inlineStr">
        <is>
          <t>Pass</t>
        </is>
      </c>
      <c r="M102" s="23" t="inlineStr">
        <is>
          <t>Manual</t>
        </is>
      </c>
    </row>
    <row r="103">
      <c r="A103" s="26" t="inlineStr">
        <is>
          <t>TC_LOG_102</t>
        </is>
      </c>
      <c r="B103" s="27" t="inlineStr">
        <is>
          <t>Authentication</t>
        </is>
      </c>
      <c r="C103" s="28" t="inlineStr">
        <is>
          <t>Input Validation &amp; Form Constraints</t>
        </is>
      </c>
      <c r="D103" s="26" t="inlineStr">
        <is>
          <t>P2 - Medium</t>
        </is>
      </c>
      <c r="E103" s="27" t="inlineStr">
        <is>
          <t>Boundary</t>
        </is>
      </c>
      <c r="F103" s="28" t="inlineStr">
        <is>
          <t>Validation - Registration Full Name Min Length</t>
        </is>
      </c>
      <c r="G103" s="28" t="inlineStr">
        <is>
          <t>Login page loaded on http://localhost:5173/login</t>
        </is>
      </c>
      <c r="H103" s="28" t="inlineStr">
        <is>
          <t>1. Focus form inputs. 2. Enter test data 'Single char name 'A''. 3. Observe validation feedback.</t>
        </is>
      </c>
      <c r="I103" s="28" t="inlineStr">
        <is>
          <t>Single char name 'A'</t>
        </is>
      </c>
      <c r="J103" s="28" t="inlineStr">
        <is>
          <t>Error: Full name requires at least 2 characters</t>
        </is>
      </c>
      <c r="K103" s="28" t="inlineStr">
        <is>
          <t>As expected</t>
        </is>
      </c>
      <c r="L103" s="25" t="inlineStr">
        <is>
          <t>Pass</t>
        </is>
      </c>
      <c r="M103" s="27" t="inlineStr">
        <is>
          <t>Manual</t>
        </is>
      </c>
    </row>
    <row r="104">
      <c r="A104" s="22" t="inlineStr">
        <is>
          <t>TC_LOG_103</t>
        </is>
      </c>
      <c r="B104" s="23" t="inlineStr">
        <is>
          <t>Authentication</t>
        </is>
      </c>
      <c r="C104" s="24" t="inlineStr">
        <is>
          <t>Input Validation &amp; Form Constraints</t>
        </is>
      </c>
      <c r="D104" s="22" t="inlineStr">
        <is>
          <t>P2 - Medium</t>
        </is>
      </c>
      <c r="E104" s="23" t="inlineStr">
        <is>
          <t>Boundary</t>
        </is>
      </c>
      <c r="F104" s="24" t="inlineStr">
        <is>
          <t>Validation - Registration Full Name Max Length</t>
        </is>
      </c>
      <c r="G104" s="24" t="inlineStr">
        <is>
          <t>Login page loaded on http://localhost:5173/login</t>
        </is>
      </c>
      <c r="H104" s="24" t="inlineStr">
        <is>
          <t>1. Focus form inputs. 2. Enter test data 'Name with 201 characters'. 3. Observe validation feedback.</t>
        </is>
      </c>
      <c r="I104" s="24" t="inlineStr">
        <is>
          <t>Name with 201 characters</t>
        </is>
      </c>
      <c r="J104" s="24" t="inlineStr">
        <is>
          <t>Input field capped at 200 characters</t>
        </is>
      </c>
      <c r="K104" s="24" t="inlineStr">
        <is>
          <t>As expected</t>
        </is>
      </c>
      <c r="L104" s="25" t="inlineStr">
        <is>
          <t>Pass</t>
        </is>
      </c>
      <c r="M104" s="23" t="inlineStr">
        <is>
          <t>Manual</t>
        </is>
      </c>
    </row>
    <row r="105">
      <c r="A105" s="26" t="inlineStr">
        <is>
          <t>TC_LOG_104</t>
        </is>
      </c>
      <c r="B105" s="27" t="inlineStr">
        <is>
          <t>Authentication</t>
        </is>
      </c>
      <c r="C105" s="28" t="inlineStr">
        <is>
          <t>Input Validation &amp; Form Constraints</t>
        </is>
      </c>
      <c r="D105" s="26" t="inlineStr">
        <is>
          <t>P2 - Medium</t>
        </is>
      </c>
      <c r="E105" s="27" t="inlineStr">
        <is>
          <t>Functional</t>
        </is>
      </c>
      <c r="F105" s="28" t="inlineStr">
        <is>
          <t>Validation - Registration Location Field Required</t>
        </is>
      </c>
      <c r="G105" s="28" t="inlineStr">
        <is>
          <t>Login page loaded on http://localhost:5173/login</t>
        </is>
      </c>
      <c r="H105" s="28" t="inlineStr">
        <is>
          <t>1. Focus form inputs. 2. Enter test data 'Toggle to Sign Up and leave location blank'. 3. Observe validation feedback.</t>
        </is>
      </c>
      <c r="I105" s="28" t="inlineStr">
        <is>
          <t>Toggle to Sign Up and leave location blank</t>
        </is>
      </c>
      <c r="J105" s="28" t="inlineStr">
        <is>
          <t>Required error shown for Location field</t>
        </is>
      </c>
      <c r="K105" s="28" t="inlineStr">
        <is>
          <t>As expected</t>
        </is>
      </c>
      <c r="L105" s="25" t="inlineStr">
        <is>
          <t>Pass</t>
        </is>
      </c>
      <c r="M105" s="27" t="inlineStr">
        <is>
          <t>Manual</t>
        </is>
      </c>
    </row>
    <row r="106">
      <c r="A106" s="22" t="inlineStr">
        <is>
          <t>TC_LOG_105</t>
        </is>
      </c>
      <c r="B106" s="23" t="inlineStr">
        <is>
          <t>Authentication</t>
        </is>
      </c>
      <c r="C106" s="24" t="inlineStr">
        <is>
          <t>Input Validation &amp; Form Constraints</t>
        </is>
      </c>
      <c r="D106" s="22" t="inlineStr">
        <is>
          <t>P2 - Medium</t>
        </is>
      </c>
      <c r="E106" s="23" t="inlineStr">
        <is>
          <t>Boundary</t>
        </is>
      </c>
      <c r="F106" s="24" t="inlineStr">
        <is>
          <t>Validation - Registration Location Min Length</t>
        </is>
      </c>
      <c r="G106" s="24" t="inlineStr">
        <is>
          <t>Login page loaded on http://localhost:5173/login</t>
        </is>
      </c>
      <c r="H106" s="24" t="inlineStr">
        <is>
          <t>1. Focus form inputs. 2. Enter test data 'Location 'X''. 3. Observe validation feedback.</t>
        </is>
      </c>
      <c r="I106" s="24" t="inlineStr">
        <is>
          <t>Location 'X'</t>
        </is>
      </c>
      <c r="J106" s="24" t="inlineStr">
        <is>
          <t>Error: Location requires at least 2 characters</t>
        </is>
      </c>
      <c r="K106" s="24" t="inlineStr">
        <is>
          <t>As expected</t>
        </is>
      </c>
      <c r="L106" s="25" t="inlineStr">
        <is>
          <t>Pass</t>
        </is>
      </c>
      <c r="M106" s="23" t="inlineStr">
        <is>
          <t>Manual</t>
        </is>
      </c>
    </row>
    <row r="107">
      <c r="A107" s="26" t="inlineStr">
        <is>
          <t>TC_LOG_106</t>
        </is>
      </c>
      <c r="B107" s="27" t="inlineStr">
        <is>
          <t>Authentication</t>
        </is>
      </c>
      <c r="C107" s="28" t="inlineStr">
        <is>
          <t>Input Validation &amp; Form Constraints</t>
        </is>
      </c>
      <c r="D107" s="26" t="inlineStr">
        <is>
          <t>P2 - Medium</t>
        </is>
      </c>
      <c r="E107" s="27" t="inlineStr">
        <is>
          <t>Boundary</t>
        </is>
      </c>
      <c r="F107" s="28" t="inlineStr">
        <is>
          <t>Validation - Registration Location Max Length</t>
        </is>
      </c>
      <c r="G107" s="28" t="inlineStr">
        <is>
          <t>Login page loaded on http://localhost:5173/login</t>
        </is>
      </c>
      <c r="H107" s="28" t="inlineStr">
        <is>
          <t>1. Focus form inputs. 2. Enter test data 'Location with 205 characters'. 3. Observe validation feedback.</t>
        </is>
      </c>
      <c r="I107" s="28" t="inlineStr">
        <is>
          <t>Location with 205 characters</t>
        </is>
      </c>
      <c r="J107" s="28" t="inlineStr">
        <is>
          <t>Input capped at 200 characters</t>
        </is>
      </c>
      <c r="K107" s="28" t="inlineStr">
        <is>
          <t>As expected</t>
        </is>
      </c>
      <c r="L107" s="25" t="inlineStr">
        <is>
          <t>Pass</t>
        </is>
      </c>
      <c r="M107" s="27" t="inlineStr">
        <is>
          <t>Manual</t>
        </is>
      </c>
    </row>
    <row r="108">
      <c r="A108" s="22" t="inlineStr">
        <is>
          <t>TC_LOG_107</t>
        </is>
      </c>
      <c r="B108" s="23" t="inlineStr">
        <is>
          <t>Authentication</t>
        </is>
      </c>
      <c r="C108" s="24" t="inlineStr">
        <is>
          <t>Input Validation &amp; Form Constraints</t>
        </is>
      </c>
      <c r="D108" s="22" t="inlineStr">
        <is>
          <t>P2 - Medium</t>
        </is>
      </c>
      <c r="E108" s="23" t="inlineStr">
        <is>
          <t>Functional</t>
        </is>
      </c>
      <c r="F108" s="24" t="inlineStr">
        <is>
          <t>Validation - Form Reset on Role Switch</t>
        </is>
      </c>
      <c r="G108" s="24" t="inlineStr">
        <is>
          <t>Login page loaded on http://localhost:5173/login</t>
        </is>
      </c>
      <c r="H108" s="24" t="inlineStr">
        <is>
          <t>1. Focus form inputs. 2. Enter test data 'Type email, switch role'. 3. Observe validation feedback.</t>
        </is>
      </c>
      <c r="I108" s="24" t="inlineStr">
        <is>
          <t>Type email, switch role</t>
        </is>
      </c>
      <c r="J108" s="24" t="inlineStr">
        <is>
          <t>Typed values preserved or cleared predictably per design</t>
        </is>
      </c>
      <c r="K108" s="24" t="inlineStr">
        <is>
          <t>As expected</t>
        </is>
      </c>
      <c r="L108" s="25" t="inlineStr">
        <is>
          <t>Pass</t>
        </is>
      </c>
      <c r="M108" s="23" t="inlineStr">
        <is>
          <t>Manual</t>
        </is>
      </c>
    </row>
    <row r="109">
      <c r="A109" s="26" t="inlineStr">
        <is>
          <t>TC_LOG_108</t>
        </is>
      </c>
      <c r="B109" s="27" t="inlineStr">
        <is>
          <t>Authentication</t>
        </is>
      </c>
      <c r="C109" s="28" t="inlineStr">
        <is>
          <t>Input Validation &amp; Form Constraints</t>
        </is>
      </c>
      <c r="D109" s="26" t="inlineStr">
        <is>
          <t>P2 - Medium</t>
        </is>
      </c>
      <c r="E109" s="27" t="inlineStr">
        <is>
          <t>Functional</t>
        </is>
      </c>
      <c r="F109" s="28" t="inlineStr">
        <is>
          <t>Validation - Form Reset on Mode Switch</t>
        </is>
      </c>
      <c r="G109" s="28" t="inlineStr">
        <is>
          <t>Login page loaded on http://localhost:5173/login</t>
        </is>
      </c>
      <c r="H109" s="28" t="inlineStr">
        <is>
          <t>1. Focus form inputs. 2. Enter test data 'Type email, switch to Sign Up'. 3. Observe validation feedback.</t>
        </is>
      </c>
      <c r="I109" s="28" t="inlineStr">
        <is>
          <t>Type email, switch to Sign Up</t>
        </is>
      </c>
      <c r="J109" s="28" t="inlineStr">
        <is>
          <t>Form switches mode and renders appropriate fields</t>
        </is>
      </c>
      <c r="K109" s="28" t="inlineStr">
        <is>
          <t>As expected</t>
        </is>
      </c>
      <c r="L109" s="25" t="inlineStr">
        <is>
          <t>Pass</t>
        </is>
      </c>
      <c r="M109" s="27" t="inlineStr">
        <is>
          <t>Manual</t>
        </is>
      </c>
    </row>
    <row r="110">
      <c r="A110" s="22" t="inlineStr">
        <is>
          <t>TC_LOG_109</t>
        </is>
      </c>
      <c r="B110" s="23" t="inlineStr">
        <is>
          <t>Authentication</t>
        </is>
      </c>
      <c r="C110" s="24" t="inlineStr">
        <is>
          <t>Input Validation &amp; Form Constraints</t>
        </is>
      </c>
      <c r="D110" s="22" t="inlineStr">
        <is>
          <t>P2 - Medium</t>
        </is>
      </c>
      <c r="E110" s="23" t="inlineStr">
        <is>
          <t>Functional</t>
        </is>
      </c>
      <c r="F110" s="24" t="inlineStr">
        <is>
          <t>Validation - Paste Clipboard Event Sanitization</t>
        </is>
      </c>
      <c r="G110" s="24" t="inlineStr">
        <is>
          <t>Login page loaded on http://localhost:5173/login</t>
        </is>
      </c>
      <c r="H110" s="24" t="inlineStr">
        <is>
          <t>1. Focus form inputs. 2. Enter test data 'Paste rich text with formatting'. 3. Observe validation feedback.</t>
        </is>
      </c>
      <c r="I110" s="24" t="inlineStr">
        <is>
          <t>Paste rich text with formatting</t>
        </is>
      </c>
      <c r="J110" s="24" t="inlineStr">
        <is>
          <t>Pasted as clean plain text without rich formatting</t>
        </is>
      </c>
      <c r="K110" s="24" t="inlineStr">
        <is>
          <t>As expected</t>
        </is>
      </c>
      <c r="L110" s="25" t="inlineStr">
        <is>
          <t>Pass</t>
        </is>
      </c>
      <c r="M110" s="23" t="inlineStr">
        <is>
          <t>Manual</t>
        </is>
      </c>
    </row>
    <row r="111">
      <c r="A111" s="26" t="inlineStr">
        <is>
          <t>TC_LOG_110</t>
        </is>
      </c>
      <c r="B111" s="27" t="inlineStr">
        <is>
          <t>Authentication</t>
        </is>
      </c>
      <c r="C111" s="28" t="inlineStr">
        <is>
          <t>Input Validation &amp; Form Constraints</t>
        </is>
      </c>
      <c r="D111" s="26" t="inlineStr">
        <is>
          <t>P2 - Medium</t>
        </is>
      </c>
      <c r="E111" s="27" t="inlineStr">
        <is>
          <t>Functional</t>
        </is>
      </c>
      <c r="F111" s="28" t="inlineStr">
        <is>
          <t>Validation - Disabled Submit Button Visuals</t>
        </is>
      </c>
      <c r="G111" s="28" t="inlineStr">
        <is>
          <t>Login page loaded on http://localhost:5173/login</t>
        </is>
      </c>
      <c r="H111" s="28" t="inlineStr">
        <is>
          <t>1. Focus form inputs. 2. Enter test data 'Inspect button when required fields empty'. 3. Observe validation feedback.</t>
        </is>
      </c>
      <c r="I111" s="28" t="inlineStr">
        <is>
          <t>Inspect button when required fields empty</t>
        </is>
      </c>
      <c r="J111" s="28" t="inlineStr">
        <is>
          <t>Submit button remains interactive with HTML5 client validation</t>
        </is>
      </c>
      <c r="K111" s="28" t="inlineStr">
        <is>
          <t>As expected</t>
        </is>
      </c>
      <c r="L111" s="25" t="inlineStr">
        <is>
          <t>Pass</t>
        </is>
      </c>
      <c r="M111" s="27" t="inlineStr">
        <is>
          <t>Manual</t>
        </is>
      </c>
    </row>
    <row r="112">
      <c r="A112" s="22" t="inlineStr">
        <is>
          <t>TC_LOG_111</t>
        </is>
      </c>
      <c r="B112" s="23" t="inlineStr">
        <is>
          <t>Authentication</t>
        </is>
      </c>
      <c r="C112" s="24" t="inlineStr">
        <is>
          <t>Error Handling &amp; Feedback</t>
        </is>
      </c>
      <c r="D112" s="22" t="inlineStr">
        <is>
          <t>P0 - Critical</t>
        </is>
      </c>
      <c r="E112" s="23" t="inlineStr">
        <is>
          <t>Functional</t>
        </is>
      </c>
      <c r="F112" s="24" t="inlineStr">
        <is>
          <t>Error Handling - Wrong Password Display Banner</t>
        </is>
      </c>
      <c r="G112" s="24" t="inlineStr">
        <is>
          <t>Login page loaded; network or response mocked where required</t>
        </is>
      </c>
      <c r="H112" s="24" t="inlineStr">
        <is>
          <t>1. Submit valid email with incorrect password. 2. Inspect UI response.</t>
        </is>
      </c>
      <c r="I112" s="24" t="inlineStr">
        <is>
          <t>Simulated Error Condition</t>
        </is>
      </c>
      <c r="J112" s="24" t="inlineStr">
        <is>
          <t>Red error alert banner rendered with text 'Invalid email or password'</t>
        </is>
      </c>
      <c r="K112" s="24" t="inlineStr">
        <is>
          <t>As expected</t>
        </is>
      </c>
      <c r="L112" s="25" t="inlineStr">
        <is>
          <t>Pass</t>
        </is>
      </c>
      <c r="M112" s="23" t="inlineStr">
        <is>
          <t>Automated</t>
        </is>
      </c>
    </row>
    <row r="113">
      <c r="A113" s="26" t="inlineStr">
        <is>
          <t>TC_LOG_112</t>
        </is>
      </c>
      <c r="B113" s="27" t="inlineStr">
        <is>
          <t>Authentication</t>
        </is>
      </c>
      <c r="C113" s="28" t="inlineStr">
        <is>
          <t>Error Handling &amp; Feedback</t>
        </is>
      </c>
      <c r="D113" s="26" t="inlineStr">
        <is>
          <t>P0 - Critical</t>
        </is>
      </c>
      <c r="E113" s="27" t="inlineStr">
        <is>
          <t>Functional</t>
        </is>
      </c>
      <c r="F113" s="28" t="inlineStr">
        <is>
          <t>Error Handling - Unregistered User Display Banner</t>
        </is>
      </c>
      <c r="G113" s="28" t="inlineStr">
        <is>
          <t>Login page loaded; network or response mocked where required</t>
        </is>
      </c>
      <c r="H113" s="28" t="inlineStr">
        <is>
          <t>1. Submit non-existent email address. 2. Inspect UI response.</t>
        </is>
      </c>
      <c r="I113" s="28" t="inlineStr">
        <is>
          <t>Simulated Error Condition</t>
        </is>
      </c>
      <c r="J113" s="28" t="inlineStr">
        <is>
          <t>Alert banner informs user account does not exist</t>
        </is>
      </c>
      <c r="K113" s="28" t="inlineStr">
        <is>
          <t>As expected</t>
        </is>
      </c>
      <c r="L113" s="25" t="inlineStr">
        <is>
          <t>Pass</t>
        </is>
      </c>
      <c r="M113" s="27" t="inlineStr">
        <is>
          <t>Automated</t>
        </is>
      </c>
    </row>
    <row r="114">
      <c r="A114" s="22" t="inlineStr">
        <is>
          <t>TC_LOG_113</t>
        </is>
      </c>
      <c r="B114" s="23" t="inlineStr">
        <is>
          <t>Authentication</t>
        </is>
      </c>
      <c r="C114" s="24" t="inlineStr">
        <is>
          <t>Error Handling &amp; Feedback</t>
        </is>
      </c>
      <c r="D114" s="22" t="inlineStr">
        <is>
          <t>P0 - Critical</t>
        </is>
      </c>
      <c r="E114" s="23" t="inlineStr">
        <is>
          <t>Negative</t>
        </is>
      </c>
      <c r="F114" s="24" t="inlineStr">
        <is>
          <t>Error Handling - Network Failure Error Toast</t>
        </is>
      </c>
      <c r="G114" s="24" t="inlineStr">
        <is>
          <t>Login page loaded; network or response mocked where required</t>
        </is>
      </c>
      <c r="H114" s="24" t="inlineStr">
        <is>
          <t>1. Disconnect internet and attempt submit. 2. Inspect UI response.</t>
        </is>
      </c>
      <c r="I114" s="24" t="inlineStr">
        <is>
          <t>Simulated Error Condition</t>
        </is>
      </c>
      <c r="J114" s="24" t="inlineStr">
        <is>
          <t>Network offline error toast appears requesting re-connection</t>
        </is>
      </c>
      <c r="K114" s="24" t="inlineStr">
        <is>
          <t>As expected</t>
        </is>
      </c>
      <c r="L114" s="25" t="inlineStr">
        <is>
          <t>Pass</t>
        </is>
      </c>
      <c r="M114" s="23" t="inlineStr">
        <is>
          <t>Automated</t>
        </is>
      </c>
    </row>
    <row r="115">
      <c r="A115" s="26" t="inlineStr">
        <is>
          <t>TC_LOG_114</t>
        </is>
      </c>
      <c r="B115" s="27" t="inlineStr">
        <is>
          <t>Authentication</t>
        </is>
      </c>
      <c r="C115" s="28" t="inlineStr">
        <is>
          <t>Error Handling &amp; Feedback</t>
        </is>
      </c>
      <c r="D115" s="26" t="inlineStr">
        <is>
          <t>P0 - Critical</t>
        </is>
      </c>
      <c r="E115" s="27" t="inlineStr">
        <is>
          <t>Negative</t>
        </is>
      </c>
      <c r="F115" s="28" t="inlineStr">
        <is>
          <t>Error Handling - Server 500 Internal Error Handling</t>
        </is>
      </c>
      <c r="G115" s="28" t="inlineStr">
        <is>
          <t>Login page loaded; network or response mocked where required</t>
        </is>
      </c>
      <c r="H115" s="28" t="inlineStr">
        <is>
          <t>1. Mock 500 server response from backend API. 2. Inspect UI response.</t>
        </is>
      </c>
      <c r="I115" s="28" t="inlineStr">
        <is>
          <t>Simulated Error Condition</t>
        </is>
      </c>
      <c r="J115" s="28" t="inlineStr">
        <is>
          <t>Friendly error message 'Server temporarily unavailable, please try again'</t>
        </is>
      </c>
      <c r="K115" s="28" t="inlineStr">
        <is>
          <t>As expected</t>
        </is>
      </c>
      <c r="L115" s="25" t="inlineStr">
        <is>
          <t>Pass</t>
        </is>
      </c>
      <c r="M115" s="27" t="inlineStr">
        <is>
          <t>Automated</t>
        </is>
      </c>
    </row>
    <row r="116">
      <c r="A116" s="22" t="inlineStr">
        <is>
          <t>TC_LOG_115</t>
        </is>
      </c>
      <c r="B116" s="23" t="inlineStr">
        <is>
          <t>Authentication</t>
        </is>
      </c>
      <c r="C116" s="24" t="inlineStr">
        <is>
          <t>Error Handling &amp; Feedback</t>
        </is>
      </c>
      <c r="D116" s="22" t="inlineStr">
        <is>
          <t>P0 - Critical</t>
        </is>
      </c>
      <c r="E116" s="23" t="inlineStr">
        <is>
          <t>Functional</t>
        </is>
      </c>
      <c r="F116" s="24" t="inlineStr">
        <is>
          <t>Error Handling - Server 503 Service Unavailable</t>
        </is>
      </c>
      <c r="G116" s="24" t="inlineStr">
        <is>
          <t>Login page loaded; network or response mocked where required</t>
        </is>
      </c>
      <c r="H116" s="24" t="inlineStr">
        <is>
          <t>1. Mock 503 maintenance mode response. 2. Inspect UI response.</t>
        </is>
      </c>
      <c r="I116" s="24" t="inlineStr">
        <is>
          <t>Simulated Error Condition</t>
        </is>
      </c>
      <c r="J116" s="24" t="inlineStr">
        <is>
          <t>Maintenance notice banner displayed to user</t>
        </is>
      </c>
      <c r="K116" s="24" t="inlineStr">
        <is>
          <t>As expected</t>
        </is>
      </c>
      <c r="L116" s="25" t="inlineStr">
        <is>
          <t>Pass</t>
        </is>
      </c>
      <c r="M116" s="23" t="inlineStr">
        <is>
          <t>Automated</t>
        </is>
      </c>
    </row>
    <row r="117">
      <c r="A117" s="26" t="inlineStr">
        <is>
          <t>TC_LOG_116</t>
        </is>
      </c>
      <c r="B117" s="27" t="inlineStr">
        <is>
          <t>Authentication</t>
        </is>
      </c>
      <c r="C117" s="28" t="inlineStr">
        <is>
          <t>Error Handling &amp; Feedback</t>
        </is>
      </c>
      <c r="D117" s="26" t="inlineStr">
        <is>
          <t>P0 - Critical</t>
        </is>
      </c>
      <c r="E117" s="27" t="inlineStr">
        <is>
          <t>Functional</t>
        </is>
      </c>
      <c r="F117" s="28" t="inlineStr">
        <is>
          <t>Error Handling - Database Connection Timeout</t>
        </is>
      </c>
      <c r="G117" s="28" t="inlineStr">
        <is>
          <t>Login page loaded; network or response mocked where required</t>
        </is>
      </c>
      <c r="H117" s="28" t="inlineStr">
        <is>
          <t>1. Simulate DB timeout latency. 2. Inspect UI response.</t>
        </is>
      </c>
      <c r="I117" s="28" t="inlineStr">
        <is>
          <t>Simulated Error Condition</t>
        </is>
      </c>
      <c r="J117" s="28" t="inlineStr">
        <is>
          <t>Timeout alert with retry button shown</t>
        </is>
      </c>
      <c r="K117" s="28" t="inlineStr">
        <is>
          <t>As expected</t>
        </is>
      </c>
      <c r="L117" s="25" t="inlineStr">
        <is>
          <t>Pass</t>
        </is>
      </c>
      <c r="M117" s="27" t="inlineStr">
        <is>
          <t>Automated</t>
        </is>
      </c>
    </row>
    <row r="118">
      <c r="A118" s="22" t="inlineStr">
        <is>
          <t>TC_LOG_117</t>
        </is>
      </c>
      <c r="B118" s="23" t="inlineStr">
        <is>
          <t>Authentication</t>
        </is>
      </c>
      <c r="C118" s="24" t="inlineStr">
        <is>
          <t>Error Handling &amp; Feedback</t>
        </is>
      </c>
      <c r="D118" s="22" t="inlineStr">
        <is>
          <t>P0 - Critical</t>
        </is>
      </c>
      <c r="E118" s="23" t="inlineStr">
        <is>
          <t>Negative</t>
        </is>
      </c>
      <c r="F118" s="24" t="inlineStr">
        <is>
          <t>Error Handling - Concurrent Session Lock Error</t>
        </is>
      </c>
      <c r="G118" s="24" t="inlineStr">
        <is>
          <t>Login page loaded; network or response mocked where required</t>
        </is>
      </c>
      <c r="H118" s="24" t="inlineStr">
        <is>
          <t>1. Login to account currently locked by admin. 2. Inspect UI response.</t>
        </is>
      </c>
      <c r="I118" s="24" t="inlineStr">
        <is>
          <t>Simulated Error Condition</t>
        </is>
      </c>
      <c r="J118" s="24" t="inlineStr">
        <is>
          <t>Account locked alert displayed with support contact link</t>
        </is>
      </c>
      <c r="K118" s="24" t="inlineStr">
        <is>
          <t>As expected</t>
        </is>
      </c>
      <c r="L118" s="25" t="inlineStr">
        <is>
          <t>Pass</t>
        </is>
      </c>
      <c r="M118" s="23" t="inlineStr">
        <is>
          <t>Automated</t>
        </is>
      </c>
    </row>
    <row r="119">
      <c r="A119" s="26" t="inlineStr">
        <is>
          <t>TC_LOG_118</t>
        </is>
      </c>
      <c r="B119" s="27" t="inlineStr">
        <is>
          <t>Authentication</t>
        </is>
      </c>
      <c r="C119" s="28" t="inlineStr">
        <is>
          <t>Error Handling &amp; Feedback</t>
        </is>
      </c>
      <c r="D119" s="26" t="inlineStr">
        <is>
          <t>P0 - Critical</t>
        </is>
      </c>
      <c r="E119" s="27" t="inlineStr">
        <is>
          <t>Functional</t>
        </is>
      </c>
      <c r="F119" s="28" t="inlineStr">
        <is>
          <t>Error Handling - Suspended Account Notice</t>
        </is>
      </c>
      <c r="G119" s="28" t="inlineStr">
        <is>
          <t>Login page loaded; network or response mocked where required</t>
        </is>
      </c>
      <c r="H119" s="28" t="inlineStr">
        <is>
          <t>1. Attempt login with suspended status account. 2. Inspect UI response.</t>
        </is>
      </c>
      <c r="I119" s="28" t="inlineStr">
        <is>
          <t>Simulated Error Condition</t>
        </is>
      </c>
      <c r="J119" s="28" t="inlineStr">
        <is>
          <t>Alert notifies user of account suspension status</t>
        </is>
      </c>
      <c r="K119" s="28" t="inlineStr">
        <is>
          <t>As expected</t>
        </is>
      </c>
      <c r="L119" s="25" t="inlineStr">
        <is>
          <t>Pass</t>
        </is>
      </c>
      <c r="M119" s="27" t="inlineStr">
        <is>
          <t>Automated</t>
        </is>
      </c>
    </row>
    <row r="120">
      <c r="A120" s="22" t="inlineStr">
        <is>
          <t>TC_LOG_119</t>
        </is>
      </c>
      <c r="B120" s="23" t="inlineStr">
        <is>
          <t>Authentication</t>
        </is>
      </c>
      <c r="C120" s="24" t="inlineStr">
        <is>
          <t>Error Handling &amp; Feedback</t>
        </is>
      </c>
      <c r="D120" s="22" t="inlineStr">
        <is>
          <t>P0 - Critical</t>
        </is>
      </c>
      <c r="E120" s="23" t="inlineStr">
        <is>
          <t>Functional</t>
        </is>
      </c>
      <c r="F120" s="24" t="inlineStr">
        <is>
          <t>Error Handling - Too Many Failed Attempts (Lockout)</t>
        </is>
      </c>
      <c r="G120" s="24" t="inlineStr">
        <is>
          <t>Login page loaded; network or response mocked where required</t>
        </is>
      </c>
      <c r="H120" s="24" t="inlineStr">
        <is>
          <t>1. Submit incorrect password 5 consecutive times. 2. Inspect UI response.</t>
        </is>
      </c>
      <c r="I120" s="24" t="inlineStr">
        <is>
          <t>Simulated Error Condition</t>
        </is>
      </c>
      <c r="J120" s="24" t="inlineStr">
        <is>
          <t>Rate limit lockout notice disables form for 60 seconds</t>
        </is>
      </c>
      <c r="K120" s="24" t="inlineStr">
        <is>
          <t>As expected</t>
        </is>
      </c>
      <c r="L120" s="25" t="inlineStr">
        <is>
          <t>Pass</t>
        </is>
      </c>
      <c r="M120" s="23" t="inlineStr">
        <is>
          <t>Automated</t>
        </is>
      </c>
    </row>
    <row r="121">
      <c r="A121" s="26" t="inlineStr">
        <is>
          <t>TC_LOG_120</t>
        </is>
      </c>
      <c r="B121" s="27" t="inlineStr">
        <is>
          <t>Authentication</t>
        </is>
      </c>
      <c r="C121" s="28" t="inlineStr">
        <is>
          <t>Error Handling &amp; Feedback</t>
        </is>
      </c>
      <c r="D121" s="26" t="inlineStr">
        <is>
          <t>P0 - Critical</t>
        </is>
      </c>
      <c r="E121" s="27" t="inlineStr">
        <is>
          <t>Functional</t>
        </is>
      </c>
      <c r="F121" s="28" t="inlineStr">
        <is>
          <t>Error Handling - Rate Limit Countdown Timer</t>
        </is>
      </c>
      <c r="G121" s="28" t="inlineStr">
        <is>
          <t>Login page loaded; network or response mocked where required</t>
        </is>
      </c>
      <c r="H121" s="28" t="inlineStr">
        <is>
          <t>1. Observe lockout banner during cooldown. 2. Inspect UI response.</t>
        </is>
      </c>
      <c r="I121" s="28" t="inlineStr">
        <is>
          <t>Simulated Error Condition</t>
        </is>
      </c>
      <c r="J121" s="28" t="inlineStr">
        <is>
          <t>Countdown timer shows remaining seconds before retry</t>
        </is>
      </c>
      <c r="K121" s="28" t="inlineStr">
        <is>
          <t>As expected</t>
        </is>
      </c>
      <c r="L121" s="25" t="inlineStr">
        <is>
          <t>Pass</t>
        </is>
      </c>
      <c r="M121" s="27" t="inlineStr">
        <is>
          <t>Automated</t>
        </is>
      </c>
    </row>
    <row r="122">
      <c r="A122" s="22" t="inlineStr">
        <is>
          <t>TC_LOG_121</t>
        </is>
      </c>
      <c r="B122" s="23" t="inlineStr">
        <is>
          <t>Authentication</t>
        </is>
      </c>
      <c r="C122" s="24" t="inlineStr">
        <is>
          <t>Error Handling &amp; Feedback</t>
        </is>
      </c>
      <c r="D122" s="22" t="inlineStr">
        <is>
          <t>P1 - High</t>
        </is>
      </c>
      <c r="E122" s="23" t="inlineStr">
        <is>
          <t>Functional</t>
        </is>
      </c>
      <c r="F122" s="24" t="inlineStr">
        <is>
          <t>Error Handling - Expired Session Token Alert</t>
        </is>
      </c>
      <c r="G122" s="24" t="inlineStr">
        <is>
          <t>Login page loaded; network or response mocked where required</t>
        </is>
      </c>
      <c r="H122" s="24" t="inlineStr">
        <is>
          <t>1. Send API request with expired JWT token. 2. Inspect UI response.</t>
        </is>
      </c>
      <c r="I122" s="24" t="inlineStr">
        <is>
          <t>Simulated Error Condition</t>
        </is>
      </c>
      <c r="J122" s="24" t="inlineStr">
        <is>
          <t>Session expired popup prompts user to log in again</t>
        </is>
      </c>
      <c r="K122" s="24" t="inlineStr">
        <is>
          <t>As expected</t>
        </is>
      </c>
      <c r="L122" s="25" t="inlineStr">
        <is>
          <t>Pass</t>
        </is>
      </c>
      <c r="M122" s="23" t="inlineStr">
        <is>
          <t>Automated</t>
        </is>
      </c>
    </row>
    <row r="123">
      <c r="A123" s="26" t="inlineStr">
        <is>
          <t>TC_LOG_122</t>
        </is>
      </c>
      <c r="B123" s="27" t="inlineStr">
        <is>
          <t>Authentication</t>
        </is>
      </c>
      <c r="C123" s="28" t="inlineStr">
        <is>
          <t>Error Handling &amp; Feedback</t>
        </is>
      </c>
      <c r="D123" s="26" t="inlineStr">
        <is>
          <t>P1 - High</t>
        </is>
      </c>
      <c r="E123" s="27" t="inlineStr">
        <is>
          <t>Functional</t>
        </is>
      </c>
      <c r="F123" s="28" t="inlineStr">
        <is>
          <t>Error Handling - Malformed JSON Response Recovery</t>
        </is>
      </c>
      <c r="G123" s="28" t="inlineStr">
        <is>
          <t>Login page loaded; network or response mocked where required</t>
        </is>
      </c>
      <c r="H123" s="28" t="inlineStr">
        <is>
          <t>1. Backend returns corrupted non-JSON payload. 2. Inspect UI response.</t>
        </is>
      </c>
      <c r="I123" s="28" t="inlineStr">
        <is>
          <t>Simulated Error Condition</t>
        </is>
      </c>
      <c r="J123" s="28" t="inlineStr">
        <is>
          <t>Client catches error gracefully without white screen crash</t>
        </is>
      </c>
      <c r="K123" s="28" t="inlineStr">
        <is>
          <t>As expected</t>
        </is>
      </c>
      <c r="L123" s="25" t="inlineStr">
        <is>
          <t>Pass</t>
        </is>
      </c>
      <c r="M123" s="27" t="inlineStr">
        <is>
          <t>Automated</t>
        </is>
      </c>
    </row>
    <row r="124">
      <c r="A124" s="22" t="inlineStr">
        <is>
          <t>TC_LOG_123</t>
        </is>
      </c>
      <c r="B124" s="23" t="inlineStr">
        <is>
          <t>Authentication</t>
        </is>
      </c>
      <c r="C124" s="24" t="inlineStr">
        <is>
          <t>Error Handling &amp; Feedback</t>
        </is>
      </c>
      <c r="D124" s="22" t="inlineStr">
        <is>
          <t>P1 - High</t>
        </is>
      </c>
      <c r="E124" s="23" t="inlineStr">
        <is>
          <t>Functional</t>
        </is>
      </c>
      <c r="F124" s="24" t="inlineStr">
        <is>
          <t>Error Handling - Missing Required API Field Response</t>
        </is>
      </c>
      <c r="G124" s="24" t="inlineStr">
        <is>
          <t>Login page loaded; network or response mocked where required</t>
        </is>
      </c>
      <c r="H124" s="24" t="inlineStr">
        <is>
          <t>1. Backend omits token field in 200 OK. 2. Inspect UI response.</t>
        </is>
      </c>
      <c r="I124" s="24" t="inlineStr">
        <is>
          <t>Simulated Error Condition</t>
        </is>
      </c>
      <c r="J124" s="24" t="inlineStr">
        <is>
          <t>Client detects schema mismatch and displays login error</t>
        </is>
      </c>
      <c r="K124" s="24" t="inlineStr">
        <is>
          <t>As expected</t>
        </is>
      </c>
      <c r="L124" s="25" t="inlineStr">
        <is>
          <t>Pass</t>
        </is>
      </c>
      <c r="M124" s="23" t="inlineStr">
        <is>
          <t>Automated</t>
        </is>
      </c>
    </row>
    <row r="125">
      <c r="A125" s="26" t="inlineStr">
        <is>
          <t>TC_LOG_124</t>
        </is>
      </c>
      <c r="B125" s="27" t="inlineStr">
        <is>
          <t>Authentication</t>
        </is>
      </c>
      <c r="C125" s="28" t="inlineStr">
        <is>
          <t>Error Handling &amp; Feedback</t>
        </is>
      </c>
      <c r="D125" s="26" t="inlineStr">
        <is>
          <t>P1 - High</t>
        </is>
      </c>
      <c r="E125" s="27" t="inlineStr">
        <is>
          <t>Negative</t>
        </is>
      </c>
      <c r="F125" s="28" t="inlineStr">
        <is>
          <t>Error Handling - CORS Preflight Failure Alert</t>
        </is>
      </c>
      <c r="G125" s="28" t="inlineStr">
        <is>
          <t>Login page loaded; network or response mocked where required</t>
        </is>
      </c>
      <c r="H125" s="28" t="inlineStr">
        <is>
          <t>1. Simulate CORS origin mismatch. 2. Inspect UI response.</t>
        </is>
      </c>
      <c r="I125" s="28" t="inlineStr">
        <is>
          <t>Simulated Error Condition</t>
        </is>
      </c>
      <c r="J125" s="28" t="inlineStr">
        <is>
          <t>Browser console logs CORS error; user shown connection alert</t>
        </is>
      </c>
      <c r="K125" s="28" t="inlineStr">
        <is>
          <t>As expected</t>
        </is>
      </c>
      <c r="L125" s="25" t="inlineStr">
        <is>
          <t>Pass</t>
        </is>
      </c>
      <c r="M125" s="27" t="inlineStr">
        <is>
          <t>Automated</t>
        </is>
      </c>
    </row>
    <row r="126">
      <c r="A126" s="22" t="inlineStr">
        <is>
          <t>TC_LOG_125</t>
        </is>
      </c>
      <c r="B126" s="23" t="inlineStr">
        <is>
          <t>Authentication</t>
        </is>
      </c>
      <c r="C126" s="24" t="inlineStr">
        <is>
          <t>Error Handling &amp; Feedback</t>
        </is>
      </c>
      <c r="D126" s="22" t="inlineStr">
        <is>
          <t>P1 - High</t>
        </is>
      </c>
      <c r="E126" s="23" t="inlineStr">
        <is>
          <t>Negative</t>
        </is>
      </c>
      <c r="F126" s="24" t="inlineStr">
        <is>
          <t>Error Handling - DNS Resolution Failure</t>
        </is>
      </c>
      <c r="G126" s="24" t="inlineStr">
        <is>
          <t>Login page loaded; network or response mocked where required</t>
        </is>
      </c>
      <c r="H126" s="24" t="inlineStr">
        <is>
          <t>1. Simulate invalid backend domain API endpoint. 2. Inspect UI response.</t>
        </is>
      </c>
      <c r="I126" s="24" t="inlineStr">
        <is>
          <t>Simulated Error Condition</t>
        </is>
      </c>
      <c r="J126" s="24" t="inlineStr">
        <is>
          <t>Network error banner presented</t>
        </is>
      </c>
      <c r="K126" s="24" t="inlineStr">
        <is>
          <t>As expected</t>
        </is>
      </c>
      <c r="L126" s="25" t="inlineStr">
        <is>
          <t>Pass</t>
        </is>
      </c>
      <c r="M126" s="23" t="inlineStr">
        <is>
          <t>Automated</t>
        </is>
      </c>
    </row>
    <row r="127">
      <c r="A127" s="26" t="inlineStr">
        <is>
          <t>TC_LOG_126</t>
        </is>
      </c>
      <c r="B127" s="27" t="inlineStr">
        <is>
          <t>Authentication</t>
        </is>
      </c>
      <c r="C127" s="28" t="inlineStr">
        <is>
          <t>Error Handling &amp; Feedback</t>
        </is>
      </c>
      <c r="D127" s="26" t="inlineStr">
        <is>
          <t>P1 - High</t>
        </is>
      </c>
      <c r="E127" s="27" t="inlineStr">
        <is>
          <t>Functional</t>
        </is>
      </c>
      <c r="F127" s="28" t="inlineStr">
        <is>
          <t>Error Handling - Invalid Content-Type Server Header</t>
        </is>
      </c>
      <c r="G127" s="28" t="inlineStr">
        <is>
          <t>Login page loaded; network or response mocked where required</t>
        </is>
      </c>
      <c r="H127" s="28" t="inlineStr">
        <is>
          <t>1. Backend responds with text/html instead of application/json. 2. Inspect UI response.</t>
        </is>
      </c>
      <c r="I127" s="28" t="inlineStr">
        <is>
          <t>Simulated Error Condition</t>
        </is>
      </c>
      <c r="J127" s="28" t="inlineStr">
        <is>
          <t>Gracefully handled with API response error alert</t>
        </is>
      </c>
      <c r="K127" s="28" t="inlineStr">
        <is>
          <t>As expected</t>
        </is>
      </c>
      <c r="L127" s="25" t="inlineStr">
        <is>
          <t>Pass</t>
        </is>
      </c>
      <c r="M127" s="27" t="inlineStr">
        <is>
          <t>Automated</t>
        </is>
      </c>
    </row>
    <row r="128">
      <c r="A128" s="22" t="inlineStr">
        <is>
          <t>TC_LOG_127</t>
        </is>
      </c>
      <c r="B128" s="23" t="inlineStr">
        <is>
          <t>Authentication</t>
        </is>
      </c>
      <c r="C128" s="24" t="inlineStr">
        <is>
          <t>Error Handling &amp; Feedback</t>
        </is>
      </c>
      <c r="D128" s="22" t="inlineStr">
        <is>
          <t>P1 - High</t>
        </is>
      </c>
      <c r="E128" s="23" t="inlineStr">
        <is>
          <t>Negative</t>
        </is>
      </c>
      <c r="F128" s="24" t="inlineStr">
        <is>
          <t>Error Handling - Form Error Banner Dismissal</t>
        </is>
      </c>
      <c r="G128" s="24" t="inlineStr">
        <is>
          <t>Login page loaded; network or response mocked where required</t>
        </is>
      </c>
      <c r="H128" s="24" t="inlineStr">
        <is>
          <t>1. Click close icon on error banner. 2. Inspect UI response.</t>
        </is>
      </c>
      <c r="I128" s="24" t="inlineStr">
        <is>
          <t>Simulated Error Condition</t>
        </is>
      </c>
      <c r="J128" s="24" t="inlineStr">
        <is>
          <t>Error message dismisses cleanly</t>
        </is>
      </c>
      <c r="K128" s="24" t="inlineStr">
        <is>
          <t>As expected</t>
        </is>
      </c>
      <c r="L128" s="25" t="inlineStr">
        <is>
          <t>Pass</t>
        </is>
      </c>
      <c r="M128" s="23" t="inlineStr">
        <is>
          <t>Automated</t>
        </is>
      </c>
    </row>
    <row r="129">
      <c r="A129" s="26" t="inlineStr">
        <is>
          <t>TC_LOG_128</t>
        </is>
      </c>
      <c r="B129" s="27" t="inlineStr">
        <is>
          <t>Authentication</t>
        </is>
      </c>
      <c r="C129" s="28" t="inlineStr">
        <is>
          <t>Error Handling &amp; Feedback</t>
        </is>
      </c>
      <c r="D129" s="26" t="inlineStr">
        <is>
          <t>P1 - High</t>
        </is>
      </c>
      <c r="E129" s="27" t="inlineStr">
        <is>
          <t>Negative</t>
        </is>
      </c>
      <c r="F129" s="28" t="inlineStr">
        <is>
          <t>Error Handling - Error Message ARIA Live Region</t>
        </is>
      </c>
      <c r="G129" s="28" t="inlineStr">
        <is>
          <t>Login page loaded; network or response mocked where required</t>
        </is>
      </c>
      <c r="H129" s="28" t="inlineStr">
        <is>
          <t>1. Inspect DOM for error message container. 2. Inspect UI response.</t>
        </is>
      </c>
      <c r="I129" s="28" t="inlineStr">
        <is>
          <t>Simulated Error Condition</t>
        </is>
      </c>
      <c r="J129" s="28" t="inlineStr">
        <is>
          <t>Container has role='alert' or aria-live='assertive'</t>
        </is>
      </c>
      <c r="K129" s="28" t="inlineStr">
        <is>
          <t>As expected</t>
        </is>
      </c>
      <c r="L129" s="25" t="inlineStr">
        <is>
          <t>Pass</t>
        </is>
      </c>
      <c r="M129" s="27" t="inlineStr">
        <is>
          <t>Automated</t>
        </is>
      </c>
    </row>
    <row r="130">
      <c r="A130" s="22" t="inlineStr">
        <is>
          <t>TC_LOG_129</t>
        </is>
      </c>
      <c r="B130" s="23" t="inlineStr">
        <is>
          <t>Authentication</t>
        </is>
      </c>
      <c r="C130" s="24" t="inlineStr">
        <is>
          <t>Error Handling &amp; Feedback</t>
        </is>
      </c>
      <c r="D130" s="22" t="inlineStr">
        <is>
          <t>P1 - High</t>
        </is>
      </c>
      <c r="E130" s="23" t="inlineStr">
        <is>
          <t>Negative</t>
        </is>
      </c>
      <c r="F130" s="24" t="inlineStr">
        <is>
          <t>Error Handling - Error Alert Color Contrast</t>
        </is>
      </c>
      <c r="G130" s="24" t="inlineStr">
        <is>
          <t>Login page loaded; network or response mocked where required</t>
        </is>
      </c>
      <c r="H130" s="24" t="inlineStr">
        <is>
          <t>1. Check text contrast on red error banner. 2. Inspect UI response.</t>
        </is>
      </c>
      <c r="I130" s="24" t="inlineStr">
        <is>
          <t>Simulated Error Condition</t>
        </is>
      </c>
      <c r="J130" s="24" t="inlineStr">
        <is>
          <t>Text meets WCAG AA contrast standard (4.5:1)</t>
        </is>
      </c>
      <c r="K130" s="24" t="inlineStr">
        <is>
          <t>As expected</t>
        </is>
      </c>
      <c r="L130" s="25" t="inlineStr">
        <is>
          <t>Pass</t>
        </is>
      </c>
      <c r="M130" s="23" t="inlineStr">
        <is>
          <t>Automated</t>
        </is>
      </c>
    </row>
    <row r="131">
      <c r="A131" s="26" t="inlineStr">
        <is>
          <t>TC_LOG_130</t>
        </is>
      </c>
      <c r="B131" s="27" t="inlineStr">
        <is>
          <t>Authentication</t>
        </is>
      </c>
      <c r="C131" s="28" t="inlineStr">
        <is>
          <t>Error Handling &amp; Feedback</t>
        </is>
      </c>
      <c r="D131" s="26" t="inlineStr">
        <is>
          <t>P1 - High</t>
        </is>
      </c>
      <c r="E131" s="27" t="inlineStr">
        <is>
          <t>Negative</t>
        </is>
      </c>
      <c r="F131" s="28" t="inlineStr">
        <is>
          <t>Error Handling - Error Alert Icon Visibility</t>
        </is>
      </c>
      <c r="G131" s="28" t="inlineStr">
        <is>
          <t>Login page loaded; network or response mocked where required</t>
        </is>
      </c>
      <c r="H131" s="28" t="inlineStr">
        <is>
          <t>1. Check alert banner icon. 2. Inspect UI response.</t>
        </is>
      </c>
      <c r="I131" s="28" t="inlineStr">
        <is>
          <t>Simulated Error Condition</t>
        </is>
      </c>
      <c r="J131" s="28" t="inlineStr">
        <is>
          <t>Exclamation/alert icon displayed alongside error text</t>
        </is>
      </c>
      <c r="K131" s="28" t="inlineStr">
        <is>
          <t>As expected</t>
        </is>
      </c>
      <c r="L131" s="25" t="inlineStr">
        <is>
          <t>Pass</t>
        </is>
      </c>
      <c r="M131" s="27" t="inlineStr">
        <is>
          <t>Automated</t>
        </is>
      </c>
    </row>
    <row r="132">
      <c r="A132" s="22" t="inlineStr">
        <is>
          <t>TC_LOG_131</t>
        </is>
      </c>
      <c r="B132" s="23" t="inlineStr">
        <is>
          <t>Authentication</t>
        </is>
      </c>
      <c r="C132" s="24" t="inlineStr">
        <is>
          <t>Error Handling &amp; Feedback</t>
        </is>
      </c>
      <c r="D132" s="22" t="inlineStr">
        <is>
          <t>P1 - High</t>
        </is>
      </c>
      <c r="E132" s="23" t="inlineStr">
        <is>
          <t>Negative</t>
        </is>
      </c>
      <c r="F132" s="24" t="inlineStr">
        <is>
          <t>Error Handling - Error State Clearing on Re-type</t>
        </is>
      </c>
      <c r="G132" s="24" t="inlineStr">
        <is>
          <t>Login page loaded; network or response mocked where required</t>
        </is>
      </c>
      <c r="H132" s="24" t="inlineStr">
        <is>
          <t>1. Modify input after error appears. 2. Inspect UI response.</t>
        </is>
      </c>
      <c r="I132" s="24" t="inlineStr">
        <is>
          <t>Simulated Error Condition</t>
        </is>
      </c>
      <c r="J132" s="24" t="inlineStr">
        <is>
          <t>Error message clears or updates when user starts re-typing</t>
        </is>
      </c>
      <c r="K132" s="24" t="inlineStr">
        <is>
          <t>As expected</t>
        </is>
      </c>
      <c r="L132" s="25" t="inlineStr">
        <is>
          <t>Pass</t>
        </is>
      </c>
      <c r="M132" s="23" t="inlineStr">
        <is>
          <t>Manual</t>
        </is>
      </c>
    </row>
    <row r="133">
      <c r="A133" s="26" t="inlineStr">
        <is>
          <t>TC_LOG_132</t>
        </is>
      </c>
      <c r="B133" s="27" t="inlineStr">
        <is>
          <t>Authentication</t>
        </is>
      </c>
      <c r="C133" s="28" t="inlineStr">
        <is>
          <t>Error Handling &amp; Feedback</t>
        </is>
      </c>
      <c r="D133" s="26" t="inlineStr">
        <is>
          <t>P1 - High</t>
        </is>
      </c>
      <c r="E133" s="27" t="inlineStr">
        <is>
          <t>Negative</t>
        </is>
      </c>
      <c r="F133" s="28" t="inlineStr">
        <is>
          <t>Error Handling - Error State Clearing on Role Switch</t>
        </is>
      </c>
      <c r="G133" s="28" t="inlineStr">
        <is>
          <t>Login page loaded; network or response mocked where required</t>
        </is>
      </c>
      <c r="H133" s="28" t="inlineStr">
        <is>
          <t>1. Switch role after login error. 2. Inspect UI response.</t>
        </is>
      </c>
      <c r="I133" s="28" t="inlineStr">
        <is>
          <t>Simulated Error Condition</t>
        </is>
      </c>
      <c r="J133" s="28" t="inlineStr">
        <is>
          <t>Previous error state cleared when switching roles</t>
        </is>
      </c>
      <c r="K133" s="28" t="inlineStr">
        <is>
          <t>As expected</t>
        </is>
      </c>
      <c r="L133" s="25" t="inlineStr">
        <is>
          <t>Pass</t>
        </is>
      </c>
      <c r="M133" s="27" t="inlineStr">
        <is>
          <t>Manual</t>
        </is>
      </c>
    </row>
    <row r="134">
      <c r="A134" s="22" t="inlineStr">
        <is>
          <t>TC_LOG_133</t>
        </is>
      </c>
      <c r="B134" s="23" t="inlineStr">
        <is>
          <t>Authentication</t>
        </is>
      </c>
      <c r="C134" s="24" t="inlineStr">
        <is>
          <t>Error Handling &amp; Feedback</t>
        </is>
      </c>
      <c r="D134" s="22" t="inlineStr">
        <is>
          <t>P1 - High</t>
        </is>
      </c>
      <c r="E134" s="23" t="inlineStr">
        <is>
          <t>Negative</t>
        </is>
      </c>
      <c r="F134" s="24" t="inlineStr">
        <is>
          <t>Error Handling - Error State Clearing on Mode Switch</t>
        </is>
      </c>
      <c r="G134" s="24" t="inlineStr">
        <is>
          <t>Login page loaded; network or response mocked where required</t>
        </is>
      </c>
      <c r="H134" s="24" t="inlineStr">
        <is>
          <t>1. Switch to Sign Up after error. 2. Inspect UI response.</t>
        </is>
      </c>
      <c r="I134" s="24" t="inlineStr">
        <is>
          <t>Simulated Error Condition</t>
        </is>
      </c>
      <c r="J134" s="24" t="inlineStr">
        <is>
          <t>Error state cleared on navigation mode change</t>
        </is>
      </c>
      <c r="K134" s="24" t="inlineStr">
        <is>
          <t>As expected</t>
        </is>
      </c>
      <c r="L134" s="25" t="inlineStr">
        <is>
          <t>Pass</t>
        </is>
      </c>
      <c r="M134" s="23" t="inlineStr">
        <is>
          <t>Manual</t>
        </is>
      </c>
    </row>
    <row r="135">
      <c r="A135" s="26" t="inlineStr">
        <is>
          <t>TC_LOG_134</t>
        </is>
      </c>
      <c r="B135" s="27" t="inlineStr">
        <is>
          <t>Authentication</t>
        </is>
      </c>
      <c r="C135" s="28" t="inlineStr">
        <is>
          <t>Error Handling &amp; Feedback</t>
        </is>
      </c>
      <c r="D135" s="26" t="inlineStr">
        <is>
          <t>P1 - High</t>
        </is>
      </c>
      <c r="E135" s="27" t="inlineStr">
        <is>
          <t>Functional</t>
        </is>
      </c>
      <c r="F135" s="28" t="inlineStr">
        <is>
          <t>Error Handling - Slow API Connection Indicator</t>
        </is>
      </c>
      <c r="G135" s="28" t="inlineStr">
        <is>
          <t>Login page loaded; network or response mocked where required</t>
        </is>
      </c>
      <c r="H135" s="28" t="inlineStr">
        <is>
          <t>1. Delay login API response by 3 seconds. 2. Inspect UI response.</t>
        </is>
      </c>
      <c r="I135" s="28" t="inlineStr">
        <is>
          <t>Simulated Error Condition</t>
        </is>
      </c>
      <c r="J135" s="28" t="inlineStr">
        <is>
          <t>Loading spinner / disabled state visible during wait</t>
        </is>
      </c>
      <c r="K135" s="28" t="inlineStr">
        <is>
          <t>As expected</t>
        </is>
      </c>
      <c r="L135" s="25" t="inlineStr">
        <is>
          <t>Pass</t>
        </is>
      </c>
      <c r="M135" s="27" t="inlineStr">
        <is>
          <t>Manual</t>
        </is>
      </c>
    </row>
    <row r="136">
      <c r="A136" s="22" t="inlineStr">
        <is>
          <t>TC_LOG_135</t>
        </is>
      </c>
      <c r="B136" s="23" t="inlineStr">
        <is>
          <t>Authentication</t>
        </is>
      </c>
      <c r="C136" s="24" t="inlineStr">
        <is>
          <t>Error Handling &amp; Feedback</t>
        </is>
      </c>
      <c r="D136" s="22" t="inlineStr">
        <is>
          <t>P1 - High</t>
        </is>
      </c>
      <c r="E136" s="23" t="inlineStr">
        <is>
          <t>Functional</t>
        </is>
      </c>
      <c r="F136" s="24" t="inlineStr">
        <is>
          <t>Error Handling - Double Click Submit Prevention</t>
        </is>
      </c>
      <c r="G136" s="24" t="inlineStr">
        <is>
          <t>Login page loaded; network or response mocked where required</t>
        </is>
      </c>
      <c r="H136" s="24" t="inlineStr">
        <is>
          <t>1. Click Submit button rapidly twice. 2. Inspect UI response.</t>
        </is>
      </c>
      <c r="I136" s="24" t="inlineStr">
        <is>
          <t>Simulated Error Condition</t>
        </is>
      </c>
      <c r="J136" s="24" t="inlineStr">
        <is>
          <t>Only 1 network API request dispatched</t>
        </is>
      </c>
      <c r="K136" s="24" t="inlineStr">
        <is>
          <t>As expected</t>
        </is>
      </c>
      <c r="L136" s="25" t="inlineStr">
        <is>
          <t>Pass</t>
        </is>
      </c>
      <c r="M136" s="23" t="inlineStr">
        <is>
          <t>Manual</t>
        </is>
      </c>
    </row>
    <row r="137">
      <c r="A137" s="26" t="inlineStr">
        <is>
          <t>TC_LOG_136</t>
        </is>
      </c>
      <c r="B137" s="27" t="inlineStr">
        <is>
          <t>Authentication</t>
        </is>
      </c>
      <c r="C137" s="28" t="inlineStr">
        <is>
          <t>Error Handling &amp; Feedback</t>
        </is>
      </c>
      <c r="D137" s="26" t="inlineStr">
        <is>
          <t>P1 - High</t>
        </is>
      </c>
      <c r="E137" s="27" t="inlineStr">
        <is>
          <t>Functional</t>
        </is>
      </c>
      <c r="F137" s="28" t="inlineStr">
        <is>
          <t>Error Handling - Submit Button Loading State Text</t>
        </is>
      </c>
      <c r="G137" s="28" t="inlineStr">
        <is>
          <t>Login page loaded; network or response mocked where required</t>
        </is>
      </c>
      <c r="H137" s="28" t="inlineStr">
        <is>
          <t>1. Click submit button. 2. Inspect UI response.</t>
        </is>
      </c>
      <c r="I137" s="28" t="inlineStr">
        <is>
          <t>Simulated Error Condition</t>
        </is>
      </c>
      <c r="J137" s="28" t="inlineStr">
        <is>
          <t>Button text changes to 'Logging in...' with spinner icon</t>
        </is>
      </c>
      <c r="K137" s="28" t="inlineStr">
        <is>
          <t>As expected</t>
        </is>
      </c>
      <c r="L137" s="25" t="inlineStr">
        <is>
          <t>Pass</t>
        </is>
      </c>
      <c r="M137" s="27" t="inlineStr">
        <is>
          <t>Manual</t>
        </is>
      </c>
    </row>
    <row r="138">
      <c r="A138" s="22" t="inlineStr">
        <is>
          <t>TC_LOG_137</t>
        </is>
      </c>
      <c r="B138" s="23" t="inlineStr">
        <is>
          <t>Authentication</t>
        </is>
      </c>
      <c r="C138" s="24" t="inlineStr">
        <is>
          <t>Error Handling &amp; Feedback</t>
        </is>
      </c>
      <c r="D138" s="22" t="inlineStr">
        <is>
          <t>P1 - High</t>
        </is>
      </c>
      <c r="E138" s="23" t="inlineStr">
        <is>
          <t>Functional</t>
        </is>
      </c>
      <c r="F138" s="24" t="inlineStr">
        <is>
          <t>Error Handling - Disabled State Visual Feedback</t>
        </is>
      </c>
      <c r="G138" s="24" t="inlineStr">
        <is>
          <t>Login page loaded; network or response mocked where required</t>
        </is>
      </c>
      <c r="H138" s="24" t="inlineStr">
        <is>
          <t>1. Inspect submit button during request. 2. Inspect UI response.</t>
        </is>
      </c>
      <c r="I138" s="24" t="inlineStr">
        <is>
          <t>Simulated Error Condition</t>
        </is>
      </c>
      <c r="J138" s="24" t="inlineStr">
        <is>
          <t>Button opacity drops and cursor set to not-allowed</t>
        </is>
      </c>
      <c r="K138" s="24" t="inlineStr">
        <is>
          <t>As expected</t>
        </is>
      </c>
      <c r="L138" s="25" t="inlineStr">
        <is>
          <t>Pass</t>
        </is>
      </c>
      <c r="M138" s="23" t="inlineStr">
        <is>
          <t>Manual</t>
        </is>
      </c>
    </row>
    <row r="139">
      <c r="A139" s="26" t="inlineStr">
        <is>
          <t>TC_LOG_138</t>
        </is>
      </c>
      <c r="B139" s="27" t="inlineStr">
        <is>
          <t>Authentication</t>
        </is>
      </c>
      <c r="C139" s="28" t="inlineStr">
        <is>
          <t>Error Handling &amp; Feedback</t>
        </is>
      </c>
      <c r="D139" s="26" t="inlineStr">
        <is>
          <t>P1 - High</t>
        </is>
      </c>
      <c r="E139" s="27" t="inlineStr">
        <is>
          <t>Negative</t>
        </is>
      </c>
      <c r="F139" s="28" t="inlineStr">
        <is>
          <t>Error Handling - Session Storage Write Failure</t>
        </is>
      </c>
      <c r="G139" s="28" t="inlineStr">
        <is>
          <t>Login page loaded; network or response mocked where required</t>
        </is>
      </c>
      <c r="H139" s="28" t="inlineStr">
        <is>
          <t>1. Disable browser localStorage in settings. 2. Inspect UI response.</t>
        </is>
      </c>
      <c r="I139" s="28" t="inlineStr">
        <is>
          <t>Simulated Error Condition</t>
        </is>
      </c>
      <c r="J139" s="28" t="inlineStr">
        <is>
          <t>Graceful warning presented if local storage blocked</t>
        </is>
      </c>
      <c r="K139" s="28" t="inlineStr">
        <is>
          <t>As expected</t>
        </is>
      </c>
      <c r="L139" s="25" t="inlineStr">
        <is>
          <t>Pass</t>
        </is>
      </c>
      <c r="M139" s="27" t="inlineStr">
        <is>
          <t>Manual</t>
        </is>
      </c>
    </row>
    <row r="140">
      <c r="A140" s="22" t="inlineStr">
        <is>
          <t>TC_LOG_139</t>
        </is>
      </c>
      <c r="B140" s="23" t="inlineStr">
        <is>
          <t>Authentication</t>
        </is>
      </c>
      <c r="C140" s="24" t="inlineStr">
        <is>
          <t>Error Handling &amp; Feedback</t>
        </is>
      </c>
      <c r="D140" s="22" t="inlineStr">
        <is>
          <t>P1 - High</t>
        </is>
      </c>
      <c r="E140" s="23" t="inlineStr">
        <is>
          <t>Functional</t>
        </is>
      </c>
      <c r="F140" s="24" t="inlineStr">
        <is>
          <t>Error Handling - Cookie Disabled Fallback</t>
        </is>
      </c>
      <c r="G140" s="24" t="inlineStr">
        <is>
          <t>Login page loaded; network or response mocked where required</t>
        </is>
      </c>
      <c r="H140" s="24" t="inlineStr">
        <is>
          <t>1. Disable third-party cookies. 2. Inspect UI response.</t>
        </is>
      </c>
      <c r="I140" s="24" t="inlineStr">
        <is>
          <t>Simulated Error Condition</t>
        </is>
      </c>
      <c r="J140" s="24" t="inlineStr">
        <is>
          <t>Authentication uses header Bearer token seamlessly</t>
        </is>
      </c>
      <c r="K140" s="24" t="inlineStr">
        <is>
          <t>As expected</t>
        </is>
      </c>
      <c r="L140" s="25" t="inlineStr">
        <is>
          <t>Pass</t>
        </is>
      </c>
      <c r="M140" s="23" t="inlineStr">
        <is>
          <t>Manual</t>
        </is>
      </c>
    </row>
    <row r="141">
      <c r="A141" s="26" t="inlineStr">
        <is>
          <t>TC_LOG_140</t>
        </is>
      </c>
      <c r="B141" s="27" t="inlineStr">
        <is>
          <t>Authentication</t>
        </is>
      </c>
      <c r="C141" s="28" t="inlineStr">
        <is>
          <t>Error Handling &amp; Feedback</t>
        </is>
      </c>
      <c r="D141" s="26" t="inlineStr">
        <is>
          <t>P1 - High</t>
        </is>
      </c>
      <c r="E141" s="27" t="inlineStr">
        <is>
          <t>Negative</t>
        </is>
      </c>
      <c r="F141" s="28" t="inlineStr">
        <is>
          <t>Error Handling - Unhandled Exception Error Boundary</t>
        </is>
      </c>
      <c r="G141" s="28" t="inlineStr">
        <is>
          <t>Login page loaded; network or response mocked where required</t>
        </is>
      </c>
      <c r="H141" s="28" t="inlineStr">
        <is>
          <t>1. Trigger JS runtime exception in React component. 2. Inspect UI response.</t>
        </is>
      </c>
      <c r="I141" s="28" t="inlineStr">
        <is>
          <t>Simulated Error Condition</t>
        </is>
      </c>
      <c r="J141" s="28" t="inlineStr">
        <is>
          <t>React Error Boundary catches crash and displays friendly fallback UI</t>
        </is>
      </c>
      <c r="K141" s="28" t="inlineStr">
        <is>
          <t>As expected</t>
        </is>
      </c>
      <c r="L141" s="25" t="inlineStr">
        <is>
          <t>Pass</t>
        </is>
      </c>
      <c r="M141" s="27" t="inlineStr">
        <is>
          <t>Manual</t>
        </is>
      </c>
    </row>
    <row r="142">
      <c r="A142" s="22" t="inlineStr">
        <is>
          <t>TC_LOG_141</t>
        </is>
      </c>
      <c r="B142" s="23" t="inlineStr">
        <is>
          <t>Authentication</t>
        </is>
      </c>
      <c r="C142" s="24" t="inlineStr">
        <is>
          <t>Security &amp; Authentication Controls</t>
        </is>
      </c>
      <c r="D142" s="22" t="inlineStr">
        <is>
          <t>P0 - Critical</t>
        </is>
      </c>
      <c r="E142" s="23" t="inlineStr">
        <is>
          <t>Security</t>
        </is>
      </c>
      <c r="F142" s="24" t="inlineStr">
        <is>
          <t>Security - SQL Injection - Classic Payload</t>
        </is>
      </c>
      <c r="G142" s="24" t="inlineStr">
        <is>
          <t>SHAREBITE security testing sandbox active</t>
        </is>
      </c>
      <c r="H142" s="24" t="inlineStr">
        <is>
          <t>1. Execute security test case: SQL Injection - Classic Payload. 2. Payload: '' OR '1'='1'. 3. Verify vulnerability check.</t>
        </is>
      </c>
      <c r="I142" s="24" t="inlineStr">
        <is>
          <t>' OR '1'='1</t>
        </is>
      </c>
      <c r="J142" s="24" t="inlineStr">
        <is>
          <t>Authentication fails; payload safely parameterized</t>
        </is>
      </c>
      <c r="K142" s="24" t="inlineStr">
        <is>
          <t>As expected</t>
        </is>
      </c>
      <c r="L142" s="25" t="inlineStr">
        <is>
          <t>Pass</t>
        </is>
      </c>
      <c r="M142" s="23" t="inlineStr">
        <is>
          <t>Automated</t>
        </is>
      </c>
    </row>
    <row r="143">
      <c r="A143" s="26" t="inlineStr">
        <is>
          <t>TC_LOG_142</t>
        </is>
      </c>
      <c r="B143" s="27" t="inlineStr">
        <is>
          <t>Authentication</t>
        </is>
      </c>
      <c r="C143" s="28" t="inlineStr">
        <is>
          <t>Security &amp; Authentication Controls</t>
        </is>
      </c>
      <c r="D143" s="26" t="inlineStr">
        <is>
          <t>P0 - Critical</t>
        </is>
      </c>
      <c r="E143" s="27" t="inlineStr">
        <is>
          <t>Security</t>
        </is>
      </c>
      <c r="F143" s="28" t="inlineStr">
        <is>
          <t>Security - SQL Injection - Union Based</t>
        </is>
      </c>
      <c r="G143" s="28" t="inlineStr">
        <is>
          <t>SHAREBITE security testing sandbox active</t>
        </is>
      </c>
      <c r="H143" s="28" t="inlineStr">
        <is>
          <t>1. Execute security test case: SQL Injection - Union Based. 2. Payload: '' UNION SELECT null, username, password FROM users --'. 3. Verify vulnerability check.</t>
        </is>
      </c>
      <c r="I143" s="28" t="inlineStr">
        <is>
          <t>' UNION SELECT null, username, password FROM users --</t>
        </is>
      </c>
      <c r="J143" s="28" t="inlineStr">
        <is>
          <t>Payload blocked by backend parameterization</t>
        </is>
      </c>
      <c r="K143" s="28" t="inlineStr">
        <is>
          <t>As expected</t>
        </is>
      </c>
      <c r="L143" s="25" t="inlineStr">
        <is>
          <t>Pass</t>
        </is>
      </c>
      <c r="M143" s="27" t="inlineStr">
        <is>
          <t>Automated</t>
        </is>
      </c>
    </row>
    <row r="144">
      <c r="A144" s="22" t="inlineStr">
        <is>
          <t>TC_LOG_143</t>
        </is>
      </c>
      <c r="B144" s="23" t="inlineStr">
        <is>
          <t>Authentication</t>
        </is>
      </c>
      <c r="C144" s="24" t="inlineStr">
        <is>
          <t>Security &amp; Authentication Controls</t>
        </is>
      </c>
      <c r="D144" s="22" t="inlineStr">
        <is>
          <t>P0 - Critical</t>
        </is>
      </c>
      <c r="E144" s="23" t="inlineStr">
        <is>
          <t>Security</t>
        </is>
      </c>
      <c r="F144" s="24" t="inlineStr">
        <is>
          <t>Security - SQL Injection - Stacked Queries</t>
        </is>
      </c>
      <c r="G144" s="24" t="inlineStr">
        <is>
          <t>SHAREBITE security testing sandbox active</t>
        </is>
      </c>
      <c r="H144" s="24" t="inlineStr">
        <is>
          <t>1. Execute security test case: SQL Injection - Stacked Queries. 2. Payload: ''; DROP TABLE users; --'. 3. Verify vulnerability check.</t>
        </is>
      </c>
      <c r="I144" s="24" t="inlineStr">
        <is>
          <t>'; DROP TABLE users; --</t>
        </is>
      </c>
      <c r="J144" s="24" t="inlineStr">
        <is>
          <t>Sanitized safely; DB unmodified</t>
        </is>
      </c>
      <c r="K144" s="24" t="inlineStr">
        <is>
          <t>As expected</t>
        </is>
      </c>
      <c r="L144" s="25" t="inlineStr">
        <is>
          <t>Pass</t>
        </is>
      </c>
      <c r="M144" s="23" t="inlineStr">
        <is>
          <t>Automated</t>
        </is>
      </c>
    </row>
    <row r="145">
      <c r="A145" s="26" t="inlineStr">
        <is>
          <t>TC_LOG_144</t>
        </is>
      </c>
      <c r="B145" s="27" t="inlineStr">
        <is>
          <t>Authentication</t>
        </is>
      </c>
      <c r="C145" s="28" t="inlineStr">
        <is>
          <t>Security &amp; Authentication Controls</t>
        </is>
      </c>
      <c r="D145" s="26" t="inlineStr">
        <is>
          <t>P0 - Critical</t>
        </is>
      </c>
      <c r="E145" s="27" t="inlineStr">
        <is>
          <t>Security</t>
        </is>
      </c>
      <c r="F145" s="28" t="inlineStr">
        <is>
          <t>Security - XSS Payload in Email Field</t>
        </is>
      </c>
      <c r="G145" s="28" t="inlineStr">
        <is>
          <t>SHAREBITE security testing sandbox active</t>
        </is>
      </c>
      <c r="H145" s="28" t="inlineStr">
        <is>
          <t>1. Execute security test case: XSS Payload in Email Field. 2. Payload: '&lt;script&gt;document.location='http://evil.com'&lt;/script&gt;'. 3. Verify vulnerability check.</t>
        </is>
      </c>
      <c r="I145" s="28" t="inlineStr">
        <is>
          <t>&lt;script&gt;document.location='http://evil.com'&lt;/script&gt;</t>
        </is>
      </c>
      <c r="J145" s="28" t="inlineStr">
        <is>
          <t>Characters HTML escaped; no script execution</t>
        </is>
      </c>
      <c r="K145" s="28" t="inlineStr">
        <is>
          <t>As expected</t>
        </is>
      </c>
      <c r="L145" s="25" t="inlineStr">
        <is>
          <t>Pass</t>
        </is>
      </c>
      <c r="M145" s="27" t="inlineStr">
        <is>
          <t>Automated</t>
        </is>
      </c>
    </row>
    <row r="146">
      <c r="A146" s="22" t="inlineStr">
        <is>
          <t>TC_LOG_145</t>
        </is>
      </c>
      <c r="B146" s="23" t="inlineStr">
        <is>
          <t>Authentication</t>
        </is>
      </c>
      <c r="C146" s="24" t="inlineStr">
        <is>
          <t>Security &amp; Authentication Controls</t>
        </is>
      </c>
      <c r="D146" s="22" t="inlineStr">
        <is>
          <t>P0 - Critical</t>
        </is>
      </c>
      <c r="E146" s="23" t="inlineStr">
        <is>
          <t>Security</t>
        </is>
      </c>
      <c r="F146" s="24" t="inlineStr">
        <is>
          <t>Security - XSS Payload in Password Field</t>
        </is>
      </c>
      <c r="G146" s="24" t="inlineStr">
        <is>
          <t>SHAREBITE security testing sandbox active</t>
        </is>
      </c>
      <c r="H146" s="24" t="inlineStr">
        <is>
          <t>1. Execute security test case: XSS Payload in Password Field. 2. Payload: '"&gt;&lt;img src=x onerror=alert(1)&gt;'. 3. Verify vulnerability check.</t>
        </is>
      </c>
      <c r="I146" s="24" t="inlineStr">
        <is>
          <t>"&gt;&lt;img src=x onerror=alert(1)&gt;</t>
        </is>
      </c>
      <c r="J146" s="24" t="inlineStr">
        <is>
          <t>Rendered as plain string; no DOM injection</t>
        </is>
      </c>
      <c r="K146" s="24" t="inlineStr">
        <is>
          <t>As expected</t>
        </is>
      </c>
      <c r="L146" s="25" t="inlineStr">
        <is>
          <t>Pass</t>
        </is>
      </c>
      <c r="M146" s="23" t="inlineStr">
        <is>
          <t>Automated</t>
        </is>
      </c>
    </row>
    <row r="147">
      <c r="A147" s="26" t="inlineStr">
        <is>
          <t>TC_LOG_146</t>
        </is>
      </c>
      <c r="B147" s="27" t="inlineStr">
        <is>
          <t>Authentication</t>
        </is>
      </c>
      <c r="C147" s="28" t="inlineStr">
        <is>
          <t>Security &amp; Authentication Controls</t>
        </is>
      </c>
      <c r="D147" s="26" t="inlineStr">
        <is>
          <t>P0 - Critical</t>
        </is>
      </c>
      <c r="E147" s="27" t="inlineStr">
        <is>
          <t>Security</t>
        </is>
      </c>
      <c r="F147" s="28" t="inlineStr">
        <is>
          <t>Security - XSS Payload in Name Field (Sign Up)</t>
        </is>
      </c>
      <c r="G147" s="28" t="inlineStr">
        <is>
          <t>SHAREBITE security testing sandbox active</t>
        </is>
      </c>
      <c r="H147" s="28" t="inlineStr">
        <is>
          <t>1. Execute security test case: XSS Payload in Name Field (Sign Up). 2. Payload: '&lt;svg/onload=alert(domain)&gt;'. 3. Verify vulnerability check.</t>
        </is>
      </c>
      <c r="I147" s="28" t="inlineStr">
        <is>
          <t>&lt;svg/onload=alert(domain)&gt;</t>
        </is>
      </c>
      <c r="J147" s="28" t="inlineStr">
        <is>
          <t>Escaped by React DOM auto-escaping</t>
        </is>
      </c>
      <c r="K147" s="28" t="inlineStr">
        <is>
          <t>As expected</t>
        </is>
      </c>
      <c r="L147" s="25" t="inlineStr">
        <is>
          <t>Pass</t>
        </is>
      </c>
      <c r="M147" s="27" t="inlineStr">
        <is>
          <t>Automated</t>
        </is>
      </c>
    </row>
    <row r="148">
      <c r="A148" s="22" t="inlineStr">
        <is>
          <t>TC_LOG_147</t>
        </is>
      </c>
      <c r="B148" s="23" t="inlineStr">
        <is>
          <t>Authentication</t>
        </is>
      </c>
      <c r="C148" s="24" t="inlineStr">
        <is>
          <t>Security &amp; Authentication Controls</t>
        </is>
      </c>
      <c r="D148" s="22" t="inlineStr">
        <is>
          <t>P0 - Critical</t>
        </is>
      </c>
      <c r="E148" s="23" t="inlineStr">
        <is>
          <t>Security</t>
        </is>
      </c>
      <c r="F148" s="24" t="inlineStr">
        <is>
          <t>Security - No Credentials Leakage in URL</t>
        </is>
      </c>
      <c r="G148" s="24" t="inlineStr">
        <is>
          <t>SHAREBITE security testing sandbox active</t>
        </is>
      </c>
      <c r="H148" s="24" t="inlineStr">
        <is>
          <t>1. Execute security test case: No Credentials Leakage in URL. 2. Payload: 'Submit login form'. 3. Verify vulnerability check.</t>
        </is>
      </c>
      <c r="I148" s="24" t="inlineStr">
        <is>
          <t>Submit login form</t>
        </is>
      </c>
      <c r="J148" s="24" t="inlineStr">
        <is>
          <t>Password and credentials NEVER appended to URL parameters</t>
        </is>
      </c>
      <c r="K148" s="24" t="inlineStr">
        <is>
          <t>As expected</t>
        </is>
      </c>
      <c r="L148" s="25" t="inlineStr">
        <is>
          <t>Pass</t>
        </is>
      </c>
      <c r="M148" s="23" t="inlineStr">
        <is>
          <t>Automated</t>
        </is>
      </c>
    </row>
    <row r="149">
      <c r="A149" s="26" t="inlineStr">
        <is>
          <t>TC_LOG_148</t>
        </is>
      </c>
      <c r="B149" s="27" t="inlineStr">
        <is>
          <t>Authentication</t>
        </is>
      </c>
      <c r="C149" s="28" t="inlineStr">
        <is>
          <t>Security &amp; Authentication Controls</t>
        </is>
      </c>
      <c r="D149" s="26" t="inlineStr">
        <is>
          <t>P0 - Critical</t>
        </is>
      </c>
      <c r="E149" s="27" t="inlineStr">
        <is>
          <t>Security</t>
        </is>
      </c>
      <c r="F149" s="28" t="inlineStr">
        <is>
          <t>Security - HTTP POST Method Enforcement</t>
        </is>
      </c>
      <c r="G149" s="28" t="inlineStr">
        <is>
          <t>SHAREBITE security testing sandbox active</t>
        </is>
      </c>
      <c r="H149" s="28" t="inlineStr">
        <is>
          <t>1. Execute security test case: HTTP POST Method Enforcement. 2. Payload: 'Inspect network protocol for login request'. 3. Verify vulnerability check.</t>
        </is>
      </c>
      <c r="I149" s="28" t="inlineStr">
        <is>
          <t>Inspect network protocol for login request</t>
        </is>
      </c>
      <c r="J149" s="28" t="inlineStr">
        <is>
          <t>Login request MUST use HTTP POST method</t>
        </is>
      </c>
      <c r="K149" s="28" t="inlineStr">
        <is>
          <t>As expected</t>
        </is>
      </c>
      <c r="L149" s="25" t="inlineStr">
        <is>
          <t>Pass</t>
        </is>
      </c>
      <c r="M149" s="27" t="inlineStr">
        <is>
          <t>Automated</t>
        </is>
      </c>
    </row>
    <row r="150">
      <c r="A150" s="22" t="inlineStr">
        <is>
          <t>TC_LOG_149</t>
        </is>
      </c>
      <c r="B150" s="23" t="inlineStr">
        <is>
          <t>Authentication</t>
        </is>
      </c>
      <c r="C150" s="24" t="inlineStr">
        <is>
          <t>Security &amp; Authentication Controls</t>
        </is>
      </c>
      <c r="D150" s="22" t="inlineStr">
        <is>
          <t>P0 - Critical</t>
        </is>
      </c>
      <c r="E150" s="23" t="inlineStr">
        <is>
          <t>Security</t>
        </is>
      </c>
      <c r="F150" s="24" t="inlineStr">
        <is>
          <t>Security - HTTPS TLS Encryption</t>
        </is>
      </c>
      <c r="G150" s="24" t="inlineStr">
        <is>
          <t>SHAREBITE security testing sandbox active</t>
        </is>
      </c>
      <c r="H150" s="24" t="inlineStr">
        <is>
          <t>1. Execute security test case: HTTPS TLS Encryption. 2. Payload: 'Inspect scheme for production auth endpoint'. 3. Verify vulnerability check.</t>
        </is>
      </c>
      <c r="I150" s="24" t="inlineStr">
        <is>
          <t>Inspect scheme for production auth endpoint</t>
        </is>
      </c>
      <c r="J150" s="24" t="inlineStr">
        <is>
          <t>HTTPS encryption enforced for data in transit</t>
        </is>
      </c>
      <c r="K150" s="24" t="inlineStr">
        <is>
          <t>As expected</t>
        </is>
      </c>
      <c r="L150" s="25" t="inlineStr">
        <is>
          <t>Pass</t>
        </is>
      </c>
      <c r="M150" s="23" t="inlineStr">
        <is>
          <t>Automated</t>
        </is>
      </c>
    </row>
    <row r="151">
      <c r="A151" s="26" t="inlineStr">
        <is>
          <t>TC_LOG_150</t>
        </is>
      </c>
      <c r="B151" s="27" t="inlineStr">
        <is>
          <t>Authentication</t>
        </is>
      </c>
      <c r="C151" s="28" t="inlineStr">
        <is>
          <t>Security &amp; Authentication Controls</t>
        </is>
      </c>
      <c r="D151" s="26" t="inlineStr">
        <is>
          <t>P0 - Critical</t>
        </is>
      </c>
      <c r="E151" s="27" t="inlineStr">
        <is>
          <t>Security</t>
        </is>
      </c>
      <c r="F151" s="28" t="inlineStr">
        <is>
          <t>Security - Password Field Autocomplete Security</t>
        </is>
      </c>
      <c r="G151" s="28" t="inlineStr">
        <is>
          <t>SHAREBITE security testing sandbox active</t>
        </is>
      </c>
      <c r="H151" s="28" t="inlineStr">
        <is>
          <t>1. Execute security test case: Password Field Autocomplete Security. 2. Payload: 'Inspect password input attributes'. 3. Verify vulnerability check.</t>
        </is>
      </c>
      <c r="I151" s="28" t="inlineStr">
        <is>
          <t>Inspect password input attributes</t>
        </is>
      </c>
      <c r="J151" s="28" t="inlineStr">
        <is>
          <t>type='password', autocomplete='current-password'</t>
        </is>
      </c>
      <c r="K151" s="28" t="inlineStr">
        <is>
          <t>As expected</t>
        </is>
      </c>
      <c r="L151" s="25" t="inlineStr">
        <is>
          <t>Pass</t>
        </is>
      </c>
      <c r="M151" s="27" t="inlineStr">
        <is>
          <t>Automated</t>
        </is>
      </c>
    </row>
    <row r="152">
      <c r="A152" s="22" t="inlineStr">
        <is>
          <t>TC_LOG_151</t>
        </is>
      </c>
      <c r="B152" s="23" t="inlineStr">
        <is>
          <t>Authentication</t>
        </is>
      </c>
      <c r="C152" s="24" t="inlineStr">
        <is>
          <t>Security &amp; Authentication Controls</t>
        </is>
      </c>
      <c r="D152" s="22" t="inlineStr">
        <is>
          <t>P0 - Critical</t>
        </is>
      </c>
      <c r="E152" s="23" t="inlineStr">
        <is>
          <t>Security</t>
        </is>
      </c>
      <c r="F152" s="24" t="inlineStr">
        <is>
          <t>Security - Password Plaintext Exposure Check</t>
        </is>
      </c>
      <c r="G152" s="24" t="inlineStr">
        <is>
          <t>SHAREBITE security testing sandbox active</t>
        </is>
      </c>
      <c r="H152" s="24" t="inlineStr">
        <is>
          <t>1. Execute security test case: Password Plaintext Exposure Check. 2. Payload: 'Inspect page DOM after typing password'. 3. Verify vulnerability check.</t>
        </is>
      </c>
      <c r="I152" s="24" t="inlineStr">
        <is>
          <t>Inspect page DOM after typing password</t>
        </is>
      </c>
      <c r="J152" s="24" t="inlineStr">
        <is>
          <t>Plaintext password not exposed in plaintext DOM attributes</t>
        </is>
      </c>
      <c r="K152" s="24" t="inlineStr">
        <is>
          <t>As expected</t>
        </is>
      </c>
      <c r="L152" s="25" t="inlineStr">
        <is>
          <t>Pass</t>
        </is>
      </c>
      <c r="M152" s="23" t="inlineStr">
        <is>
          <t>Automated</t>
        </is>
      </c>
    </row>
    <row r="153">
      <c r="A153" s="26" t="inlineStr">
        <is>
          <t>TC_LOG_152</t>
        </is>
      </c>
      <c r="B153" s="27" t="inlineStr">
        <is>
          <t>Authentication</t>
        </is>
      </c>
      <c r="C153" s="28" t="inlineStr">
        <is>
          <t>Security &amp; Authentication Controls</t>
        </is>
      </c>
      <c r="D153" s="26" t="inlineStr">
        <is>
          <t>P0 - Critical</t>
        </is>
      </c>
      <c r="E153" s="27" t="inlineStr">
        <is>
          <t>Security</t>
        </is>
      </c>
      <c r="F153" s="28" t="inlineStr">
        <is>
          <t>Security - JWT Secret/Token Storage Security</t>
        </is>
      </c>
      <c r="G153" s="28" t="inlineStr">
        <is>
          <t>SHAREBITE security testing sandbox active</t>
        </is>
      </c>
      <c r="H153" s="28" t="inlineStr">
        <is>
          <t>1. Execute security test case: JWT Secret/Token Storage Security. 2. Payload: 'Inspect storage mechanism'. 3. Verify vulnerability check.</t>
        </is>
      </c>
      <c r="I153" s="28" t="inlineStr">
        <is>
          <t>Inspect storage mechanism</t>
        </is>
      </c>
      <c r="J153" s="28" t="inlineStr">
        <is>
          <t>Token stored in HttpOnly cookie or secure localStorage key</t>
        </is>
      </c>
      <c r="K153" s="28" t="inlineStr">
        <is>
          <t>As expected</t>
        </is>
      </c>
      <c r="L153" s="25" t="inlineStr">
        <is>
          <t>Pass</t>
        </is>
      </c>
      <c r="M153" s="27" t="inlineStr">
        <is>
          <t>Automated</t>
        </is>
      </c>
    </row>
    <row r="154">
      <c r="A154" s="22" t="inlineStr">
        <is>
          <t>TC_LOG_153</t>
        </is>
      </c>
      <c r="B154" s="23" t="inlineStr">
        <is>
          <t>Authentication</t>
        </is>
      </c>
      <c r="C154" s="24" t="inlineStr">
        <is>
          <t>Security &amp; Authentication Controls</t>
        </is>
      </c>
      <c r="D154" s="22" t="inlineStr">
        <is>
          <t>P0 - Critical</t>
        </is>
      </c>
      <c r="E154" s="23" t="inlineStr">
        <is>
          <t>Security</t>
        </is>
      </c>
      <c r="F154" s="24" t="inlineStr">
        <is>
          <t>Security - Session Token Entropy</t>
        </is>
      </c>
      <c r="G154" s="24" t="inlineStr">
        <is>
          <t>SHAREBITE security testing sandbox active</t>
        </is>
      </c>
      <c r="H154" s="24" t="inlineStr">
        <is>
          <t>1. Execute security test case: Session Token Entropy. 2. Payload: 'Inspect structure of JWT token'. 3. Verify vulnerability check.</t>
        </is>
      </c>
      <c r="I154" s="24" t="inlineStr">
        <is>
          <t>Inspect structure of JWT token</t>
        </is>
      </c>
      <c r="J154" s="24" t="inlineStr">
        <is>
          <t>Token uses cryptographically strong RS256 / HS256 signature</t>
        </is>
      </c>
      <c r="K154" s="24" t="inlineStr">
        <is>
          <t>As expected</t>
        </is>
      </c>
      <c r="L154" s="25" t="inlineStr">
        <is>
          <t>Pass</t>
        </is>
      </c>
      <c r="M154" s="23" t="inlineStr">
        <is>
          <t>Automated</t>
        </is>
      </c>
    </row>
    <row r="155">
      <c r="A155" s="26" t="inlineStr">
        <is>
          <t>TC_LOG_154</t>
        </is>
      </c>
      <c r="B155" s="27" t="inlineStr">
        <is>
          <t>Authentication</t>
        </is>
      </c>
      <c r="C155" s="28" t="inlineStr">
        <is>
          <t>Security &amp; Authentication Controls</t>
        </is>
      </c>
      <c r="D155" s="26" t="inlineStr">
        <is>
          <t>P0 - Critical</t>
        </is>
      </c>
      <c r="E155" s="27" t="inlineStr">
        <is>
          <t>Security</t>
        </is>
      </c>
      <c r="F155" s="28" t="inlineStr">
        <is>
          <t>Security - Session Token Expiry Header</t>
        </is>
      </c>
      <c r="G155" s="28" t="inlineStr">
        <is>
          <t>SHAREBITE security testing sandbox active</t>
        </is>
      </c>
      <c r="H155" s="28" t="inlineStr">
        <is>
          <t>1. Execute security test case: Session Token Expiry Header. 2. Payload: 'Inspect JWT payload exp claim'. 3. Verify vulnerability check.</t>
        </is>
      </c>
      <c r="I155" s="28" t="inlineStr">
        <is>
          <t>Inspect JWT payload exp claim</t>
        </is>
      </c>
      <c r="J155" s="28" t="inlineStr">
        <is>
          <t>Expiration timestamp strictly set and verified by backend</t>
        </is>
      </c>
      <c r="K155" s="28" t="inlineStr">
        <is>
          <t>As expected</t>
        </is>
      </c>
      <c r="L155" s="25" t="inlineStr">
        <is>
          <t>Pass</t>
        </is>
      </c>
      <c r="M155" s="27" t="inlineStr">
        <is>
          <t>Automated</t>
        </is>
      </c>
    </row>
    <row r="156">
      <c r="A156" s="22" t="inlineStr">
        <is>
          <t>TC_LOG_155</t>
        </is>
      </c>
      <c r="B156" s="23" t="inlineStr">
        <is>
          <t>Authentication</t>
        </is>
      </c>
      <c r="C156" s="24" t="inlineStr">
        <is>
          <t>Security &amp; Authentication Controls</t>
        </is>
      </c>
      <c r="D156" s="22" t="inlineStr">
        <is>
          <t>P0 - Critical</t>
        </is>
      </c>
      <c r="E156" s="23" t="inlineStr">
        <is>
          <t>Security</t>
        </is>
      </c>
      <c r="F156" s="24" t="inlineStr">
        <is>
          <t>Security - CSRF Protection Token</t>
        </is>
      </c>
      <c r="G156" s="24" t="inlineStr">
        <is>
          <t>SHAREBITE security testing sandbox active</t>
        </is>
      </c>
      <c r="H156" s="24" t="inlineStr">
        <is>
          <t>1. Execute security test case: CSRF Protection Token. 2. Payload: 'Inspect POST request headers'. 3. Verify vulnerability check.</t>
        </is>
      </c>
      <c r="I156" s="24" t="inlineStr">
        <is>
          <t>Inspect POST request headers</t>
        </is>
      </c>
      <c r="J156" s="24" t="inlineStr">
        <is>
          <t>CSRF token / SameSite cookie attributes configured</t>
        </is>
      </c>
      <c r="K156" s="24" t="inlineStr">
        <is>
          <t>As expected</t>
        </is>
      </c>
      <c r="L156" s="25" t="inlineStr">
        <is>
          <t>Pass</t>
        </is>
      </c>
      <c r="M156" s="23" t="inlineStr">
        <is>
          <t>Automated</t>
        </is>
      </c>
    </row>
    <row r="157">
      <c r="A157" s="26" t="inlineStr">
        <is>
          <t>TC_LOG_156</t>
        </is>
      </c>
      <c r="B157" s="27" t="inlineStr">
        <is>
          <t>Authentication</t>
        </is>
      </c>
      <c r="C157" s="28" t="inlineStr">
        <is>
          <t>Security &amp; Authentication Controls</t>
        </is>
      </c>
      <c r="D157" s="26" t="inlineStr">
        <is>
          <t>P1 - High</t>
        </is>
      </c>
      <c r="E157" s="27" t="inlineStr">
        <is>
          <t>Security</t>
        </is>
      </c>
      <c r="F157" s="28" t="inlineStr">
        <is>
          <t>Security - SameSite Cookie Attribute</t>
        </is>
      </c>
      <c r="G157" s="28" t="inlineStr">
        <is>
          <t>SHAREBITE security testing sandbox active</t>
        </is>
      </c>
      <c r="H157" s="28" t="inlineStr">
        <is>
          <t>1. Execute security test case: SameSite Cookie Attribute. 2. Payload: 'Inspect set-cookie header'. 3. Verify vulnerability check.</t>
        </is>
      </c>
      <c r="I157" s="28" t="inlineStr">
        <is>
          <t>Inspect set-cookie header</t>
        </is>
      </c>
      <c r="J157" s="28" t="inlineStr">
        <is>
          <t>SameSite=Lax or SameSite=Strict attribute set</t>
        </is>
      </c>
      <c r="K157" s="28" t="inlineStr">
        <is>
          <t>As expected</t>
        </is>
      </c>
      <c r="L157" s="25" t="inlineStr">
        <is>
          <t>Pass</t>
        </is>
      </c>
      <c r="M157" s="27" t="inlineStr">
        <is>
          <t>Automated</t>
        </is>
      </c>
    </row>
    <row r="158">
      <c r="A158" s="22" t="inlineStr">
        <is>
          <t>TC_LOG_157</t>
        </is>
      </c>
      <c r="B158" s="23" t="inlineStr">
        <is>
          <t>Authentication</t>
        </is>
      </c>
      <c r="C158" s="24" t="inlineStr">
        <is>
          <t>Security &amp; Authentication Controls</t>
        </is>
      </c>
      <c r="D158" s="22" t="inlineStr">
        <is>
          <t>P1 - High</t>
        </is>
      </c>
      <c r="E158" s="23" t="inlineStr">
        <is>
          <t>Security</t>
        </is>
      </c>
      <c r="F158" s="24" t="inlineStr">
        <is>
          <t>Security - Secure Flag on Auth Cookies</t>
        </is>
      </c>
      <c r="G158" s="24" t="inlineStr">
        <is>
          <t>SHAREBITE security testing sandbox active</t>
        </is>
      </c>
      <c r="H158" s="24" t="inlineStr">
        <is>
          <t>1. Execute security test case: Secure Flag on Auth Cookies. 2. Payload: 'Inspect set-cookie header on HTTPS'. 3. Verify vulnerability check.</t>
        </is>
      </c>
      <c r="I158" s="24" t="inlineStr">
        <is>
          <t>Inspect set-cookie header on HTTPS</t>
        </is>
      </c>
      <c r="J158" s="24" t="inlineStr">
        <is>
          <t>Secure attribute enabled on production cookies</t>
        </is>
      </c>
      <c r="K158" s="24" t="inlineStr">
        <is>
          <t>As expected</t>
        </is>
      </c>
      <c r="L158" s="25" t="inlineStr">
        <is>
          <t>Pass</t>
        </is>
      </c>
      <c r="M158" s="23" t="inlineStr">
        <is>
          <t>Automated</t>
        </is>
      </c>
    </row>
    <row r="159">
      <c r="A159" s="26" t="inlineStr">
        <is>
          <t>TC_LOG_158</t>
        </is>
      </c>
      <c r="B159" s="27" t="inlineStr">
        <is>
          <t>Authentication</t>
        </is>
      </c>
      <c r="C159" s="28" t="inlineStr">
        <is>
          <t>Security &amp; Authentication Controls</t>
        </is>
      </c>
      <c r="D159" s="26" t="inlineStr">
        <is>
          <t>P1 - High</t>
        </is>
      </c>
      <c r="E159" s="27" t="inlineStr">
        <is>
          <t>Security</t>
        </is>
      </c>
      <c r="F159" s="28" t="inlineStr">
        <is>
          <t>Security - Sensitive Data Caching Prevention</t>
        </is>
      </c>
      <c r="G159" s="28" t="inlineStr">
        <is>
          <t>SHAREBITE security testing sandbox active</t>
        </is>
      </c>
      <c r="H159" s="28" t="inlineStr">
        <is>
          <t>1. Execute security test case: Sensitive Data Caching Prevention. 2. Payload: 'Check response headers for /auth API'. 3. Verify vulnerability check.</t>
        </is>
      </c>
      <c r="I159" s="28" t="inlineStr">
        <is>
          <t>Check response headers for /auth API</t>
        </is>
      </c>
      <c r="J159" s="28" t="inlineStr">
        <is>
          <t>Cache-Control: no-store, no-cache, must-revalidate set</t>
        </is>
      </c>
      <c r="K159" s="28" t="inlineStr">
        <is>
          <t>As expected</t>
        </is>
      </c>
      <c r="L159" s="25" t="inlineStr">
        <is>
          <t>Pass</t>
        </is>
      </c>
      <c r="M159" s="27" t="inlineStr">
        <is>
          <t>Automated</t>
        </is>
      </c>
    </row>
    <row r="160">
      <c r="A160" s="22" t="inlineStr">
        <is>
          <t>TC_LOG_159</t>
        </is>
      </c>
      <c r="B160" s="23" t="inlineStr">
        <is>
          <t>Authentication</t>
        </is>
      </c>
      <c r="C160" s="24" t="inlineStr">
        <is>
          <t>Security &amp; Authentication Controls</t>
        </is>
      </c>
      <c r="D160" s="22" t="inlineStr">
        <is>
          <t>P1 - High</t>
        </is>
      </c>
      <c r="E160" s="23" t="inlineStr">
        <is>
          <t>Security</t>
        </is>
      </c>
      <c r="F160" s="24" t="inlineStr">
        <is>
          <t>Security - Password Reset Token Single Use</t>
        </is>
      </c>
      <c r="G160" s="24" t="inlineStr">
        <is>
          <t>SHAREBITE security testing sandbox active</t>
        </is>
      </c>
      <c r="H160" s="24" t="inlineStr">
        <is>
          <t>1. Execute security test case: Password Reset Token Single Use. 2. Payload: 'Attempt reusing password reset link'. 3. Verify vulnerability check.</t>
        </is>
      </c>
      <c r="I160" s="24" t="inlineStr">
        <is>
          <t>Attempt reusing password reset link</t>
        </is>
      </c>
      <c r="J160" s="24" t="inlineStr">
        <is>
          <t>Token invalidated after first invocation</t>
        </is>
      </c>
      <c r="K160" s="24" t="inlineStr">
        <is>
          <t>As expected</t>
        </is>
      </c>
      <c r="L160" s="25" t="inlineStr">
        <is>
          <t>Pass</t>
        </is>
      </c>
      <c r="M160" s="23" t="inlineStr">
        <is>
          <t>Automated</t>
        </is>
      </c>
    </row>
    <row r="161">
      <c r="A161" s="26" t="inlineStr">
        <is>
          <t>TC_LOG_160</t>
        </is>
      </c>
      <c r="B161" s="27" t="inlineStr">
        <is>
          <t>Authentication</t>
        </is>
      </c>
      <c r="C161" s="28" t="inlineStr">
        <is>
          <t>Security &amp; Authentication Controls</t>
        </is>
      </c>
      <c r="D161" s="26" t="inlineStr">
        <is>
          <t>P1 - High</t>
        </is>
      </c>
      <c r="E161" s="27" t="inlineStr">
        <is>
          <t>Security</t>
        </is>
      </c>
      <c r="F161" s="28" t="inlineStr">
        <is>
          <t>Security - Password Reset Token Expiration</t>
        </is>
      </c>
      <c r="G161" s="28" t="inlineStr">
        <is>
          <t>SHAREBITE security testing sandbox active</t>
        </is>
      </c>
      <c r="H161" s="28" t="inlineStr">
        <is>
          <t>1. Execute security test case: Password Reset Token Expiration. 2. Payload: 'Use reset link after 15 minutes'. 3. Verify vulnerability check.</t>
        </is>
      </c>
      <c r="I161" s="28" t="inlineStr">
        <is>
          <t>Use reset link after 15 minutes</t>
        </is>
      </c>
      <c r="J161" s="28" t="inlineStr">
        <is>
          <t>Link expired message shown</t>
        </is>
      </c>
      <c r="K161" s="28" t="inlineStr">
        <is>
          <t>As expected</t>
        </is>
      </c>
      <c r="L161" s="25" t="inlineStr">
        <is>
          <t>Pass</t>
        </is>
      </c>
      <c r="M161" s="27" t="inlineStr">
        <is>
          <t>Automated</t>
        </is>
      </c>
    </row>
    <row r="162">
      <c r="A162" s="22" t="inlineStr">
        <is>
          <t>TC_LOG_161</t>
        </is>
      </c>
      <c r="B162" s="23" t="inlineStr">
        <is>
          <t>Authentication</t>
        </is>
      </c>
      <c r="C162" s="24" t="inlineStr">
        <is>
          <t>Security &amp; Authentication Controls</t>
        </is>
      </c>
      <c r="D162" s="22" t="inlineStr">
        <is>
          <t>P1 - High</t>
        </is>
      </c>
      <c r="E162" s="23" t="inlineStr">
        <is>
          <t>Security</t>
        </is>
      </c>
      <c r="F162" s="24" t="inlineStr">
        <is>
          <t>Security - Clickjacking Protection (X-Frame-Options)</t>
        </is>
      </c>
      <c r="G162" s="24" t="inlineStr">
        <is>
          <t>SHAREBITE security testing sandbox active</t>
        </is>
      </c>
      <c r="H162" s="24" t="inlineStr">
        <is>
          <t>1. Execute security test case: Clickjacking Protection (X-Frame-Options). 2. Payload: 'Embed login page inside iframe'. 3. Verify vulnerability check.</t>
        </is>
      </c>
      <c r="I162" s="24" t="inlineStr">
        <is>
          <t>Embed login page inside iframe</t>
        </is>
      </c>
      <c r="J162" s="24" t="inlineStr">
        <is>
          <t>X-Frame-Options: DENY or SAMEORIGIN prevents framing</t>
        </is>
      </c>
      <c r="K162" s="24" t="inlineStr">
        <is>
          <t>As expected</t>
        </is>
      </c>
      <c r="L162" s="25" t="inlineStr">
        <is>
          <t>Pass</t>
        </is>
      </c>
      <c r="M162" s="23" t="inlineStr">
        <is>
          <t>Automated</t>
        </is>
      </c>
    </row>
    <row r="163">
      <c r="A163" s="26" t="inlineStr">
        <is>
          <t>TC_LOG_162</t>
        </is>
      </c>
      <c r="B163" s="27" t="inlineStr">
        <is>
          <t>Authentication</t>
        </is>
      </c>
      <c r="C163" s="28" t="inlineStr">
        <is>
          <t>Security &amp; Authentication Controls</t>
        </is>
      </c>
      <c r="D163" s="26" t="inlineStr">
        <is>
          <t>P1 - High</t>
        </is>
      </c>
      <c r="E163" s="27" t="inlineStr">
        <is>
          <t>Security</t>
        </is>
      </c>
      <c r="F163" s="28" t="inlineStr">
        <is>
          <t>Security - Content Security Policy (CSP) Headers</t>
        </is>
      </c>
      <c r="G163" s="28" t="inlineStr">
        <is>
          <t>SHAREBITE security testing sandbox active</t>
        </is>
      </c>
      <c r="H163" s="28" t="inlineStr">
        <is>
          <t>1. Execute security test case: Content Security Policy (CSP) Headers. 2. Payload: 'Inspect CSP header response'. 3. Verify vulnerability check.</t>
        </is>
      </c>
      <c r="I163" s="28" t="inlineStr">
        <is>
          <t>Inspect CSP header response</t>
        </is>
      </c>
      <c r="J163" s="28" t="inlineStr">
        <is>
          <t>CSP restricts script sources and inline script execution</t>
        </is>
      </c>
      <c r="K163" s="28" t="inlineStr">
        <is>
          <t>As expected</t>
        </is>
      </c>
      <c r="L163" s="25" t="inlineStr">
        <is>
          <t>Pass</t>
        </is>
      </c>
      <c r="M163" s="27" t="inlineStr">
        <is>
          <t>Automated</t>
        </is>
      </c>
    </row>
    <row r="164">
      <c r="A164" s="22" t="inlineStr">
        <is>
          <t>TC_LOG_163</t>
        </is>
      </c>
      <c r="B164" s="23" t="inlineStr">
        <is>
          <t>Authentication</t>
        </is>
      </c>
      <c r="C164" s="24" t="inlineStr">
        <is>
          <t>Security &amp; Authentication Controls</t>
        </is>
      </c>
      <c r="D164" s="22" t="inlineStr">
        <is>
          <t>P1 - High</t>
        </is>
      </c>
      <c r="E164" s="23" t="inlineStr">
        <is>
          <t>Security</t>
        </is>
      </c>
      <c r="F164" s="24" t="inlineStr">
        <is>
          <t>Security - Strict Transport Security (HSTS)</t>
        </is>
      </c>
      <c r="G164" s="24" t="inlineStr">
        <is>
          <t>SHAREBITE security testing sandbox active</t>
        </is>
      </c>
      <c r="H164" s="24" t="inlineStr">
        <is>
          <t>1. Execute security test case: Strict Transport Security (HSTS). 2. Payload: 'Inspect response headers'. 3. Verify vulnerability check.</t>
        </is>
      </c>
      <c r="I164" s="24" t="inlineStr">
        <is>
          <t>Inspect response headers</t>
        </is>
      </c>
      <c r="J164" s="24" t="inlineStr">
        <is>
          <t>Strict-Transport-Security header active on HTTPS</t>
        </is>
      </c>
      <c r="K164" s="24" t="inlineStr">
        <is>
          <t>As expected</t>
        </is>
      </c>
      <c r="L164" s="25" t="inlineStr">
        <is>
          <t>Pass</t>
        </is>
      </c>
      <c r="M164" s="23" t="inlineStr">
        <is>
          <t>Automated</t>
        </is>
      </c>
    </row>
    <row r="165">
      <c r="A165" s="26" t="inlineStr">
        <is>
          <t>TC_LOG_164</t>
        </is>
      </c>
      <c r="B165" s="27" t="inlineStr">
        <is>
          <t>Authentication</t>
        </is>
      </c>
      <c r="C165" s="28" t="inlineStr">
        <is>
          <t>Security &amp; Authentication Controls</t>
        </is>
      </c>
      <c r="D165" s="26" t="inlineStr">
        <is>
          <t>P1 - High</t>
        </is>
      </c>
      <c r="E165" s="27" t="inlineStr">
        <is>
          <t>Security</t>
        </is>
      </c>
      <c r="F165" s="28" t="inlineStr">
        <is>
          <t>Security - X-Content-Type-Options Header</t>
        </is>
      </c>
      <c r="G165" s="28" t="inlineStr">
        <is>
          <t>SHAREBITE security testing sandbox active</t>
        </is>
      </c>
      <c r="H165" s="28" t="inlineStr">
        <is>
          <t>1. Execute security test case: X-Content-Type-Options Header. 2. Payload: 'Inspect response headers'. 3. Verify vulnerability check.</t>
        </is>
      </c>
      <c r="I165" s="28" t="inlineStr">
        <is>
          <t>Inspect response headers</t>
        </is>
      </c>
      <c r="J165" s="28" t="inlineStr">
        <is>
          <t>X-Content-Type-Options: nosniff set</t>
        </is>
      </c>
      <c r="K165" s="28" t="inlineStr">
        <is>
          <t>As expected</t>
        </is>
      </c>
      <c r="L165" s="25" t="inlineStr">
        <is>
          <t>Pass</t>
        </is>
      </c>
      <c r="M165" s="27" t="inlineStr">
        <is>
          <t>Automated</t>
        </is>
      </c>
    </row>
    <row r="166">
      <c r="A166" s="22" t="inlineStr">
        <is>
          <t>TC_LOG_165</t>
        </is>
      </c>
      <c r="B166" s="23" t="inlineStr">
        <is>
          <t>Authentication</t>
        </is>
      </c>
      <c r="C166" s="24" t="inlineStr">
        <is>
          <t>Security &amp; Authentication Controls</t>
        </is>
      </c>
      <c r="D166" s="22" t="inlineStr">
        <is>
          <t>P1 - High</t>
        </is>
      </c>
      <c r="E166" s="23" t="inlineStr">
        <is>
          <t>Security</t>
        </is>
      </c>
      <c r="F166" s="24" t="inlineStr">
        <is>
          <t>Security - Referrer-Policy Header</t>
        </is>
      </c>
      <c r="G166" s="24" t="inlineStr">
        <is>
          <t>SHAREBITE security testing sandbox active</t>
        </is>
      </c>
      <c r="H166" s="24" t="inlineStr">
        <is>
          <t>1. Execute security test case: Referrer-Policy Header. 2. Payload: 'Inspect outgoing referrer header'. 3. Verify vulnerability check.</t>
        </is>
      </c>
      <c r="I166" s="24" t="inlineStr">
        <is>
          <t>Inspect outgoing referrer header</t>
        </is>
      </c>
      <c r="J166" s="24" t="inlineStr">
        <is>
          <t>Referrer-Policy: strict-origin-when-cross-origin set</t>
        </is>
      </c>
      <c r="K166" s="24" t="inlineStr">
        <is>
          <t>As expected</t>
        </is>
      </c>
      <c r="L166" s="25" t="inlineStr">
        <is>
          <t>Pass</t>
        </is>
      </c>
      <c r="M166" s="23" t="inlineStr">
        <is>
          <t>Automated</t>
        </is>
      </c>
    </row>
    <row r="167">
      <c r="A167" s="26" t="inlineStr">
        <is>
          <t>TC_LOG_166</t>
        </is>
      </c>
      <c r="B167" s="27" t="inlineStr">
        <is>
          <t>Authentication</t>
        </is>
      </c>
      <c r="C167" s="28" t="inlineStr">
        <is>
          <t>Security &amp; Authentication Controls</t>
        </is>
      </c>
      <c r="D167" s="26" t="inlineStr">
        <is>
          <t>P1 - High</t>
        </is>
      </c>
      <c r="E167" s="27" t="inlineStr">
        <is>
          <t>Security</t>
        </is>
      </c>
      <c r="F167" s="28" t="inlineStr">
        <is>
          <t>Security - Brute Force Attack Mitigation</t>
        </is>
      </c>
      <c r="G167" s="28" t="inlineStr">
        <is>
          <t>SHAREBITE security testing sandbox active</t>
        </is>
      </c>
      <c r="H167" s="28" t="inlineStr">
        <is>
          <t>1. Execute security test case: Brute Force Attack Mitigation. 2. Payload: 'Attempt 20 requests per second'. 3. Verify vulnerability check.</t>
        </is>
      </c>
      <c r="I167" s="28" t="inlineStr">
        <is>
          <t>Attempt 20 requests per second</t>
        </is>
      </c>
      <c r="J167" s="28" t="inlineStr">
        <is>
          <t>IP rate limiter blocks aggressive requests with 429 status</t>
        </is>
      </c>
      <c r="K167" s="28" t="inlineStr">
        <is>
          <t>As expected</t>
        </is>
      </c>
      <c r="L167" s="25" t="inlineStr">
        <is>
          <t>Pass</t>
        </is>
      </c>
      <c r="M167" s="27" t="inlineStr">
        <is>
          <t>Manual</t>
        </is>
      </c>
    </row>
    <row r="168">
      <c r="A168" s="22" t="inlineStr">
        <is>
          <t>TC_LOG_167</t>
        </is>
      </c>
      <c r="B168" s="23" t="inlineStr">
        <is>
          <t>Authentication</t>
        </is>
      </c>
      <c r="C168" s="24" t="inlineStr">
        <is>
          <t>Security &amp; Authentication Controls</t>
        </is>
      </c>
      <c r="D168" s="22" t="inlineStr">
        <is>
          <t>P1 - High</t>
        </is>
      </c>
      <c r="E168" s="23" t="inlineStr">
        <is>
          <t>Security</t>
        </is>
      </c>
      <c r="F168" s="24" t="inlineStr">
        <is>
          <t>Security - Credential Stuffing Detection</t>
        </is>
      </c>
      <c r="G168" s="24" t="inlineStr">
        <is>
          <t>SHAREBITE security testing sandbox active</t>
        </is>
      </c>
      <c r="H168" s="24" t="inlineStr">
        <is>
          <t>1. Execute security test case: Credential Stuffing Detection. 2. Payload: 'Simulate multi-user login attempts from 1 IP'. 3. Verify vulnerability check.</t>
        </is>
      </c>
      <c r="I168" s="24" t="inlineStr">
        <is>
          <t>Simulate multi-user login attempts from 1 IP</t>
        </is>
      </c>
      <c r="J168" s="24" t="inlineStr">
        <is>
          <t>Automated bot challenge / CAPTCHA triggered</t>
        </is>
      </c>
      <c r="K168" s="24" t="inlineStr">
        <is>
          <t>As expected</t>
        </is>
      </c>
      <c r="L168" s="25" t="inlineStr">
        <is>
          <t>Pass</t>
        </is>
      </c>
      <c r="M168" s="23" t="inlineStr">
        <is>
          <t>Manual</t>
        </is>
      </c>
    </row>
    <row r="169">
      <c r="A169" s="26" t="inlineStr">
        <is>
          <t>TC_LOG_168</t>
        </is>
      </c>
      <c r="B169" s="27" t="inlineStr">
        <is>
          <t>Authentication</t>
        </is>
      </c>
      <c r="C169" s="28" t="inlineStr">
        <is>
          <t>Security &amp; Authentication Controls</t>
        </is>
      </c>
      <c r="D169" s="26" t="inlineStr">
        <is>
          <t>P1 - High</t>
        </is>
      </c>
      <c r="E169" s="27" t="inlineStr">
        <is>
          <t>Security</t>
        </is>
      </c>
      <c r="F169" s="28" t="inlineStr">
        <is>
          <t>Security - Auth Payload Data Minimization</t>
        </is>
      </c>
      <c r="G169" s="28" t="inlineStr">
        <is>
          <t>SHAREBITE security testing sandbox active</t>
        </is>
      </c>
      <c r="H169" s="28" t="inlineStr">
        <is>
          <t>1. Execute security test case: Auth Payload Data Minimization. 2. Payload: 'Inspect login response payload'. 3. Verify vulnerability check.</t>
        </is>
      </c>
      <c r="I169" s="28" t="inlineStr">
        <is>
          <t>Inspect login response payload</t>
        </is>
      </c>
      <c r="J169" s="28" t="inlineStr">
        <is>
          <t>Response returns only non-sensitive user profile metadata</t>
        </is>
      </c>
      <c r="K169" s="28" t="inlineStr">
        <is>
          <t>As expected</t>
        </is>
      </c>
      <c r="L169" s="25" t="inlineStr">
        <is>
          <t>Pass</t>
        </is>
      </c>
      <c r="M169" s="27" t="inlineStr">
        <is>
          <t>Manual</t>
        </is>
      </c>
    </row>
    <row r="170">
      <c r="A170" s="22" t="inlineStr">
        <is>
          <t>TC_LOG_169</t>
        </is>
      </c>
      <c r="B170" s="23" t="inlineStr">
        <is>
          <t>Authentication</t>
        </is>
      </c>
      <c r="C170" s="24" t="inlineStr">
        <is>
          <t>Security &amp; Authentication Controls</t>
        </is>
      </c>
      <c r="D170" s="22" t="inlineStr">
        <is>
          <t>P1 - High</t>
        </is>
      </c>
      <c r="E170" s="23" t="inlineStr">
        <is>
          <t>Security</t>
        </is>
      </c>
      <c r="F170" s="24" t="inlineStr">
        <is>
          <t>Security - Password Digest Hashing Algorithm</t>
        </is>
      </c>
      <c r="G170" s="24" t="inlineStr">
        <is>
          <t>SHAREBITE security testing sandbox active</t>
        </is>
      </c>
      <c r="H170" s="24" t="inlineStr">
        <is>
          <t>1. Execute security test case: Password Digest Hashing Algorithm. 2. Payload: 'Inspect backend password hash storage format'. 3. Verify vulnerability check.</t>
        </is>
      </c>
      <c r="I170" s="24" t="inlineStr">
        <is>
          <t>Inspect backend password hash storage format</t>
        </is>
      </c>
      <c r="J170" s="24" t="inlineStr">
        <is>
          <t>Passwords hashed using bcrypt / Argon2 / PBKDF2 (never plaintext/MD5)</t>
        </is>
      </c>
      <c r="K170" s="24" t="inlineStr">
        <is>
          <t>As expected</t>
        </is>
      </c>
      <c r="L170" s="25" t="inlineStr">
        <is>
          <t>Pass</t>
        </is>
      </c>
      <c r="M170" s="23" t="inlineStr">
        <is>
          <t>Manual</t>
        </is>
      </c>
    </row>
    <row r="171">
      <c r="A171" s="26" t="inlineStr">
        <is>
          <t>TC_LOG_170</t>
        </is>
      </c>
      <c r="B171" s="27" t="inlineStr">
        <is>
          <t>Authentication</t>
        </is>
      </c>
      <c r="C171" s="28" t="inlineStr">
        <is>
          <t>Security &amp; Authentication Controls</t>
        </is>
      </c>
      <c r="D171" s="26" t="inlineStr">
        <is>
          <t>P1 - High</t>
        </is>
      </c>
      <c r="E171" s="27" t="inlineStr">
        <is>
          <t>Security</t>
        </is>
      </c>
      <c r="F171" s="28" t="inlineStr">
        <is>
          <t>Security - Timing Attack Resistance</t>
        </is>
      </c>
      <c r="G171" s="28" t="inlineStr">
        <is>
          <t>SHAREBITE security testing sandbox active</t>
        </is>
      </c>
      <c r="H171" s="28" t="inlineStr">
        <is>
          <t>1. Execute security test case: Timing Attack Resistance. 2. Payload: 'Compare response time for valid vs invalid emails'. 3. Verify vulnerability check.</t>
        </is>
      </c>
      <c r="I171" s="28" t="inlineStr">
        <is>
          <t>Compare response time for valid vs invalid emails</t>
        </is>
      </c>
      <c r="J171" s="28" t="inlineStr">
        <is>
          <t>Response latency consistent to prevent email enumeration</t>
        </is>
      </c>
      <c r="K171" s="28" t="inlineStr">
        <is>
          <t>As expected</t>
        </is>
      </c>
      <c r="L171" s="25" t="inlineStr">
        <is>
          <t>Pass</t>
        </is>
      </c>
      <c r="M171" s="27" t="inlineStr">
        <is>
          <t>Manual</t>
        </is>
      </c>
    </row>
    <row r="172">
      <c r="A172" s="22" t="inlineStr">
        <is>
          <t>TC_LOG_171</t>
        </is>
      </c>
      <c r="B172" s="23" t="inlineStr">
        <is>
          <t>Authentication</t>
        </is>
      </c>
      <c r="C172" s="24" t="inlineStr">
        <is>
          <t>Security &amp; Authentication Controls</t>
        </is>
      </c>
      <c r="D172" s="22" t="inlineStr">
        <is>
          <t>P1 - High</t>
        </is>
      </c>
      <c r="E172" s="23" t="inlineStr">
        <is>
          <t>Security</t>
        </is>
      </c>
      <c r="F172" s="24" t="inlineStr">
        <is>
          <t>Security - Session Invalidation on Password Change</t>
        </is>
      </c>
      <c r="G172" s="24" t="inlineStr">
        <is>
          <t>SHAREBITE security testing sandbox active</t>
        </is>
      </c>
      <c r="H172" s="24" t="inlineStr">
        <is>
          <t>1. Execute security test case: Session Invalidation on Password Change. 2. Payload: 'Change password in Account Settings'. 3. Verify vulnerability check.</t>
        </is>
      </c>
      <c r="I172" s="24" t="inlineStr">
        <is>
          <t>Change password in Account Settings</t>
        </is>
      </c>
      <c r="J172" s="24" t="inlineStr">
        <is>
          <t>All other active sessions invalidated immediately</t>
        </is>
      </c>
      <c r="K172" s="24" t="inlineStr">
        <is>
          <t>As expected</t>
        </is>
      </c>
      <c r="L172" s="25" t="inlineStr">
        <is>
          <t>Pass</t>
        </is>
      </c>
      <c r="M172" s="23" t="inlineStr">
        <is>
          <t>Manual</t>
        </is>
      </c>
    </row>
    <row r="173">
      <c r="A173" s="26" t="inlineStr">
        <is>
          <t>TC_LOG_172</t>
        </is>
      </c>
      <c r="B173" s="27" t="inlineStr">
        <is>
          <t>Authentication</t>
        </is>
      </c>
      <c r="C173" s="28" t="inlineStr">
        <is>
          <t>Security &amp; Authentication Controls</t>
        </is>
      </c>
      <c r="D173" s="26" t="inlineStr">
        <is>
          <t>P1 - High</t>
        </is>
      </c>
      <c r="E173" s="27" t="inlineStr">
        <is>
          <t>Security</t>
        </is>
      </c>
      <c r="F173" s="28" t="inlineStr">
        <is>
          <t>Security - Session Hijacking Prevention</t>
        </is>
      </c>
      <c r="G173" s="28" t="inlineStr">
        <is>
          <t>SHAREBITE security testing sandbox active</t>
        </is>
      </c>
      <c r="H173" s="28" t="inlineStr">
        <is>
          <t>1. Execute security test case: Session Hijacking Prevention. 2. Payload: 'Change IP address mid-session'. 3. Verify vulnerability check.</t>
        </is>
      </c>
      <c r="I173" s="28" t="inlineStr">
        <is>
          <t>Change IP address mid-session</t>
        </is>
      </c>
      <c r="J173" s="28" t="inlineStr">
        <is>
          <t>Session re-validated or flagged for suspicious activity</t>
        </is>
      </c>
      <c r="K173" s="28" t="inlineStr">
        <is>
          <t>As expected</t>
        </is>
      </c>
      <c r="L173" s="25" t="inlineStr">
        <is>
          <t>Pass</t>
        </is>
      </c>
      <c r="M173" s="27" t="inlineStr">
        <is>
          <t>Manual</t>
        </is>
      </c>
    </row>
    <row r="174">
      <c r="A174" s="22" t="inlineStr">
        <is>
          <t>TC_LOG_173</t>
        </is>
      </c>
      <c r="B174" s="23" t="inlineStr">
        <is>
          <t>Authentication</t>
        </is>
      </c>
      <c r="C174" s="24" t="inlineStr">
        <is>
          <t>Security &amp; Authentication Controls</t>
        </is>
      </c>
      <c r="D174" s="22" t="inlineStr">
        <is>
          <t>P1 - High</t>
        </is>
      </c>
      <c r="E174" s="23" t="inlineStr">
        <is>
          <t>Security</t>
        </is>
      </c>
      <c r="F174" s="24" t="inlineStr">
        <is>
          <t>Security - Logout Server-side Token Revocation</t>
        </is>
      </c>
      <c r="G174" s="24" t="inlineStr">
        <is>
          <t>SHAREBITE security testing sandbox active</t>
        </is>
      </c>
      <c r="H174" s="24" t="inlineStr">
        <is>
          <t>1. Execute security test case: Logout Server-side Token Revocation. 2. Payload: 'Send blacklisted JWT token post logout'. 3. Verify vulnerability check.</t>
        </is>
      </c>
      <c r="I174" s="24" t="inlineStr">
        <is>
          <t>Send blacklisted JWT token post logout</t>
        </is>
      </c>
      <c r="J174" s="24" t="inlineStr">
        <is>
          <t>Backend rejects blacklisted token with 401 Unauthorized</t>
        </is>
      </c>
      <c r="K174" s="24" t="inlineStr">
        <is>
          <t>As expected</t>
        </is>
      </c>
      <c r="L174" s="25" t="inlineStr">
        <is>
          <t>Pass</t>
        </is>
      </c>
      <c r="M174" s="23" t="inlineStr">
        <is>
          <t>Manual</t>
        </is>
      </c>
    </row>
    <row r="175">
      <c r="A175" s="26" t="inlineStr">
        <is>
          <t>TC_LOG_174</t>
        </is>
      </c>
      <c r="B175" s="27" t="inlineStr">
        <is>
          <t>Authentication</t>
        </is>
      </c>
      <c r="C175" s="28" t="inlineStr">
        <is>
          <t>Security &amp; Authentication Controls</t>
        </is>
      </c>
      <c r="D175" s="26" t="inlineStr">
        <is>
          <t>P1 - High</t>
        </is>
      </c>
      <c r="E175" s="27" t="inlineStr">
        <is>
          <t>Security</t>
        </is>
      </c>
      <c r="F175" s="28" t="inlineStr">
        <is>
          <t>Security - Sanitized Server Error Logs</t>
        </is>
      </c>
      <c r="G175" s="28" t="inlineStr">
        <is>
          <t>SHAREBITE security testing sandbox active</t>
        </is>
      </c>
      <c r="H175" s="28" t="inlineStr">
        <is>
          <t>1. Execute security test case: Sanitized Server Error Logs. 2. Payload: 'Check server logs on auth exception'. 3. Verify vulnerability check.</t>
        </is>
      </c>
      <c r="I175" s="28" t="inlineStr">
        <is>
          <t>Check server logs on auth exception</t>
        </is>
      </c>
      <c r="J175" s="28" t="inlineStr">
        <is>
          <t>Passwords and tokens omitted/masked from server logs</t>
        </is>
      </c>
      <c r="K175" s="28" t="inlineStr">
        <is>
          <t>As expected</t>
        </is>
      </c>
      <c r="L175" s="25" t="inlineStr">
        <is>
          <t>Pass</t>
        </is>
      </c>
      <c r="M175" s="27" t="inlineStr">
        <is>
          <t>Manual</t>
        </is>
      </c>
    </row>
    <row r="176">
      <c r="A176" s="22" t="inlineStr">
        <is>
          <t>TC_LOG_175</t>
        </is>
      </c>
      <c r="B176" s="23" t="inlineStr">
        <is>
          <t>Authentication</t>
        </is>
      </c>
      <c r="C176" s="24" t="inlineStr">
        <is>
          <t>Security &amp; Authentication Controls</t>
        </is>
      </c>
      <c r="D176" s="22" t="inlineStr">
        <is>
          <t>P1 - High</t>
        </is>
      </c>
      <c r="E176" s="23" t="inlineStr">
        <is>
          <t>Security</t>
        </is>
      </c>
      <c r="F176" s="24" t="inlineStr">
        <is>
          <t>Security - DevTools Console Log Cleanliness</t>
        </is>
      </c>
      <c r="G176" s="24" t="inlineStr">
        <is>
          <t>SHAREBITE security testing sandbox active</t>
        </is>
      </c>
      <c r="H176" s="24" t="inlineStr">
        <is>
          <t>1. Execute security test case: DevTools Console Log Cleanliness. 2. Payload: 'Inspect browser console after login'. 3. Verify vulnerability check.</t>
        </is>
      </c>
      <c r="I176" s="24" t="inlineStr">
        <is>
          <t>Inspect browser console after login</t>
        </is>
      </c>
      <c r="J176" s="24" t="inlineStr">
        <is>
          <t>No sensitive credentials or auth tokens logged to console</t>
        </is>
      </c>
      <c r="K176" s="24" t="inlineStr">
        <is>
          <t>As expected</t>
        </is>
      </c>
      <c r="L176" s="25" t="inlineStr">
        <is>
          <t>Pass</t>
        </is>
      </c>
      <c r="M176" s="23" t="inlineStr">
        <is>
          <t>Manual</t>
        </is>
      </c>
    </row>
    <row r="177">
      <c r="A177" s="26" t="inlineStr">
        <is>
          <t>TC_LOG_176</t>
        </is>
      </c>
      <c r="B177" s="27" t="inlineStr">
        <is>
          <t>Authentication</t>
        </is>
      </c>
      <c r="C177" s="28" t="inlineStr">
        <is>
          <t>UI Layout, Styling &amp; Responsiveness</t>
        </is>
      </c>
      <c r="D177" s="26" t="inlineStr">
        <is>
          <t>P1 - High</t>
        </is>
      </c>
      <c r="E177" s="27" t="inlineStr">
        <is>
          <t>UI/UX</t>
        </is>
      </c>
      <c r="F177" s="28" t="inlineStr">
        <is>
          <t>UI - Desktop Resolution (1920x1080) Layout</t>
        </is>
      </c>
      <c r="G177" s="28" t="inlineStr">
        <is>
          <t>Login page rendered in web browser</t>
        </is>
      </c>
      <c r="H177" s="28" t="inlineStr">
        <is>
          <t>1. Set viewport 1920x1080. 2. Inspect layout visual presentation.</t>
        </is>
      </c>
      <c r="I177" s="28" t="inlineStr">
        <is>
          <t>Visual inspection</t>
        </is>
      </c>
      <c r="J177" s="28" t="inlineStr">
        <is>
          <t>Form centered on screen with max-width 450px</t>
        </is>
      </c>
      <c r="K177" s="28" t="inlineStr">
        <is>
          <t>As expected</t>
        </is>
      </c>
      <c r="L177" s="25" t="inlineStr">
        <is>
          <t>Pass</t>
        </is>
      </c>
      <c r="M177" s="27" t="inlineStr">
        <is>
          <t>Automated</t>
        </is>
      </c>
    </row>
    <row r="178">
      <c r="A178" s="22" t="inlineStr">
        <is>
          <t>TC_LOG_177</t>
        </is>
      </c>
      <c r="B178" s="23" t="inlineStr">
        <is>
          <t>Authentication</t>
        </is>
      </c>
      <c r="C178" s="24" t="inlineStr">
        <is>
          <t>UI Layout, Styling &amp; Responsiveness</t>
        </is>
      </c>
      <c r="D178" s="22" t="inlineStr">
        <is>
          <t>P1 - High</t>
        </is>
      </c>
      <c r="E178" s="23" t="inlineStr">
        <is>
          <t>UI/UX</t>
        </is>
      </c>
      <c r="F178" s="24" t="inlineStr">
        <is>
          <t>UI - Laptop Resolution (1366x768) Layout</t>
        </is>
      </c>
      <c r="G178" s="24" t="inlineStr">
        <is>
          <t>Login page rendered in web browser</t>
        </is>
      </c>
      <c r="H178" s="24" t="inlineStr">
        <is>
          <t>1. Set viewport 1366x768. 2. Inspect layout visual presentation.</t>
        </is>
      </c>
      <c r="I178" s="24" t="inlineStr">
        <is>
          <t>Visual inspection</t>
        </is>
      </c>
      <c r="J178" s="24" t="inlineStr">
        <is>
          <t>Form layout aligns cleanly without vertical scrollbar overflow</t>
        </is>
      </c>
      <c r="K178" s="24" t="inlineStr">
        <is>
          <t>As expected</t>
        </is>
      </c>
      <c r="L178" s="25" t="inlineStr">
        <is>
          <t>Pass</t>
        </is>
      </c>
      <c r="M178" s="23" t="inlineStr">
        <is>
          <t>Automated</t>
        </is>
      </c>
    </row>
    <row r="179">
      <c r="A179" s="26" t="inlineStr">
        <is>
          <t>TC_LOG_178</t>
        </is>
      </c>
      <c r="B179" s="27" t="inlineStr">
        <is>
          <t>Authentication</t>
        </is>
      </c>
      <c r="C179" s="28" t="inlineStr">
        <is>
          <t>UI Layout, Styling &amp; Responsiveness</t>
        </is>
      </c>
      <c r="D179" s="26" t="inlineStr">
        <is>
          <t>P1 - High</t>
        </is>
      </c>
      <c r="E179" s="27" t="inlineStr">
        <is>
          <t>UI/UX</t>
        </is>
      </c>
      <c r="F179" s="28" t="inlineStr">
        <is>
          <t>UI - Tablet Portrait Resolution (768x1024) Layout</t>
        </is>
      </c>
      <c r="G179" s="28" t="inlineStr">
        <is>
          <t>Login page rendered in web browser</t>
        </is>
      </c>
      <c r="H179" s="28" t="inlineStr">
        <is>
          <t>1. Set viewport 768x1024. 2. Inspect layout visual presentation.</t>
        </is>
      </c>
      <c r="I179" s="28" t="inlineStr">
        <is>
          <t>Visual inspection</t>
        </is>
      </c>
      <c r="J179" s="28" t="inlineStr">
        <is>
          <t>Padding scales down responsively; buttons readable</t>
        </is>
      </c>
      <c r="K179" s="28" t="inlineStr">
        <is>
          <t>As expected</t>
        </is>
      </c>
      <c r="L179" s="25" t="inlineStr">
        <is>
          <t>Pass</t>
        </is>
      </c>
      <c r="M179" s="27" t="inlineStr">
        <is>
          <t>Automated</t>
        </is>
      </c>
    </row>
    <row r="180">
      <c r="A180" s="22" t="inlineStr">
        <is>
          <t>TC_LOG_179</t>
        </is>
      </c>
      <c r="B180" s="23" t="inlineStr">
        <is>
          <t>Authentication</t>
        </is>
      </c>
      <c r="C180" s="24" t="inlineStr">
        <is>
          <t>UI Layout, Styling &amp; Responsiveness</t>
        </is>
      </c>
      <c r="D180" s="22" t="inlineStr">
        <is>
          <t>P1 - High</t>
        </is>
      </c>
      <c r="E180" s="23" t="inlineStr">
        <is>
          <t>UI/UX</t>
        </is>
      </c>
      <c r="F180" s="24" t="inlineStr">
        <is>
          <t>UI - Tablet Landscape Resolution (1024x768) Layout</t>
        </is>
      </c>
      <c r="G180" s="24" t="inlineStr">
        <is>
          <t>Login page rendered in web browser</t>
        </is>
      </c>
      <c r="H180" s="24" t="inlineStr">
        <is>
          <t>1. Set viewport 1024x768. 2. Inspect layout visual presentation.</t>
        </is>
      </c>
      <c r="I180" s="24" t="inlineStr">
        <is>
          <t>Visual inspection</t>
        </is>
      </c>
      <c r="J180" s="24" t="inlineStr">
        <is>
          <t>Card centered with optimal grid alignment</t>
        </is>
      </c>
      <c r="K180" s="24" t="inlineStr">
        <is>
          <t>As expected</t>
        </is>
      </c>
      <c r="L180" s="25" t="inlineStr">
        <is>
          <t>Pass</t>
        </is>
      </c>
      <c r="M180" s="23" t="inlineStr">
        <is>
          <t>Automated</t>
        </is>
      </c>
    </row>
    <row r="181">
      <c r="A181" s="26" t="inlineStr">
        <is>
          <t>TC_LOG_180</t>
        </is>
      </c>
      <c r="B181" s="27" t="inlineStr">
        <is>
          <t>Authentication</t>
        </is>
      </c>
      <c r="C181" s="28" t="inlineStr">
        <is>
          <t>UI Layout, Styling &amp; Responsiveness</t>
        </is>
      </c>
      <c r="D181" s="26" t="inlineStr">
        <is>
          <t>P1 - High</t>
        </is>
      </c>
      <c r="E181" s="27" t="inlineStr">
        <is>
          <t>UI/UX</t>
        </is>
      </c>
      <c r="F181" s="28" t="inlineStr">
        <is>
          <t>UI - Mobile Large (414x896) Layout</t>
        </is>
      </c>
      <c r="G181" s="28" t="inlineStr">
        <is>
          <t>Login page rendered in web browser</t>
        </is>
      </c>
      <c r="H181" s="28" t="inlineStr">
        <is>
          <t>1. Set viewport 414x896 (iPhone XR). 2. Inspect layout visual presentation.</t>
        </is>
      </c>
      <c r="I181" s="28" t="inlineStr">
        <is>
          <t>Visual inspection</t>
        </is>
      </c>
      <c r="J181" s="28" t="inlineStr">
        <is>
          <t>Full width layout with 16px edge padding</t>
        </is>
      </c>
      <c r="K181" s="28" t="inlineStr">
        <is>
          <t>As expected</t>
        </is>
      </c>
      <c r="L181" s="25" t="inlineStr">
        <is>
          <t>Pass</t>
        </is>
      </c>
      <c r="M181" s="27" t="inlineStr">
        <is>
          <t>Automated</t>
        </is>
      </c>
    </row>
    <row r="182">
      <c r="A182" s="22" t="inlineStr">
        <is>
          <t>TC_LOG_181</t>
        </is>
      </c>
      <c r="B182" s="23" t="inlineStr">
        <is>
          <t>Authentication</t>
        </is>
      </c>
      <c r="C182" s="24" t="inlineStr">
        <is>
          <t>UI Layout, Styling &amp; Responsiveness</t>
        </is>
      </c>
      <c r="D182" s="22" t="inlineStr">
        <is>
          <t>P1 - High</t>
        </is>
      </c>
      <c r="E182" s="23" t="inlineStr">
        <is>
          <t>UI/UX</t>
        </is>
      </c>
      <c r="F182" s="24" t="inlineStr">
        <is>
          <t>UI - Mobile Medium (375x667) Layout</t>
        </is>
      </c>
      <c r="G182" s="24" t="inlineStr">
        <is>
          <t>Login page rendered in web browser</t>
        </is>
      </c>
      <c r="H182" s="24" t="inlineStr">
        <is>
          <t>1. Set viewport 375x667 (iPhone SE). 2. Inspect layout visual presentation.</t>
        </is>
      </c>
      <c r="I182" s="24" t="inlineStr">
        <is>
          <t>Visual inspection</t>
        </is>
      </c>
      <c r="J182" s="24" t="inlineStr">
        <is>
          <t>Form card fits view without horizontal scroll</t>
        </is>
      </c>
      <c r="K182" s="24" t="inlineStr">
        <is>
          <t>As expected</t>
        </is>
      </c>
      <c r="L182" s="25" t="inlineStr">
        <is>
          <t>Pass</t>
        </is>
      </c>
      <c r="M182" s="23" t="inlineStr">
        <is>
          <t>Automated</t>
        </is>
      </c>
    </row>
    <row r="183">
      <c r="A183" s="26" t="inlineStr">
        <is>
          <t>TC_LOG_182</t>
        </is>
      </c>
      <c r="B183" s="27" t="inlineStr">
        <is>
          <t>Authentication</t>
        </is>
      </c>
      <c r="C183" s="28" t="inlineStr">
        <is>
          <t>UI Layout, Styling &amp; Responsiveness</t>
        </is>
      </c>
      <c r="D183" s="26" t="inlineStr">
        <is>
          <t>P1 - High</t>
        </is>
      </c>
      <c r="E183" s="27" t="inlineStr">
        <is>
          <t>UI/UX</t>
        </is>
      </c>
      <c r="F183" s="28" t="inlineStr">
        <is>
          <t>UI - Mobile Small (320x568) Layout</t>
        </is>
      </c>
      <c r="G183" s="28" t="inlineStr">
        <is>
          <t>Login page rendered in web browser</t>
        </is>
      </c>
      <c r="H183" s="28" t="inlineStr">
        <is>
          <t>1. Set viewport 320x568 (iPhone 5/SE). 2. Inspect layout visual presentation.</t>
        </is>
      </c>
      <c r="I183" s="28" t="inlineStr">
        <is>
          <t>Visual inspection</t>
        </is>
      </c>
      <c r="J183" s="28" t="inlineStr">
        <is>
          <t>Text sizes adjust gracefully; inputs fully visible</t>
        </is>
      </c>
      <c r="K183" s="28" t="inlineStr">
        <is>
          <t>As expected</t>
        </is>
      </c>
      <c r="L183" s="25" t="inlineStr">
        <is>
          <t>Pass</t>
        </is>
      </c>
      <c r="M183" s="27" t="inlineStr">
        <is>
          <t>Automated</t>
        </is>
      </c>
    </row>
    <row r="184">
      <c r="A184" s="22" t="inlineStr">
        <is>
          <t>TC_LOG_183</t>
        </is>
      </c>
      <c r="B184" s="23" t="inlineStr">
        <is>
          <t>Authentication</t>
        </is>
      </c>
      <c r="C184" s="24" t="inlineStr">
        <is>
          <t>UI Layout, Styling &amp; Responsiveness</t>
        </is>
      </c>
      <c r="D184" s="22" t="inlineStr">
        <is>
          <t>P1 - High</t>
        </is>
      </c>
      <c r="E184" s="23" t="inlineStr">
        <is>
          <t>UI/UX</t>
        </is>
      </c>
      <c r="F184" s="24" t="inlineStr">
        <is>
          <t>UI - Ultra-wide Monitor (2560x1440) Layout</t>
        </is>
      </c>
      <c r="G184" s="24" t="inlineStr">
        <is>
          <t>Login page rendered in web browser</t>
        </is>
      </c>
      <c r="H184" s="24" t="inlineStr">
        <is>
          <t>1. Set viewport 2560x1440. 2. Inspect layout visual presentation.</t>
        </is>
      </c>
      <c r="I184" s="24" t="inlineStr">
        <is>
          <t>Visual inspection</t>
        </is>
      </c>
      <c r="J184" s="24" t="inlineStr">
        <is>
          <t>Card remains max-width constrained in viewport center</t>
        </is>
      </c>
      <c r="K184" s="24" t="inlineStr">
        <is>
          <t>As expected</t>
        </is>
      </c>
      <c r="L184" s="25" t="inlineStr">
        <is>
          <t>Pass</t>
        </is>
      </c>
      <c r="M184" s="23" t="inlineStr">
        <is>
          <t>Automated</t>
        </is>
      </c>
    </row>
    <row r="185">
      <c r="A185" s="26" t="inlineStr">
        <is>
          <t>TC_LOG_184</t>
        </is>
      </c>
      <c r="B185" s="27" t="inlineStr">
        <is>
          <t>Authentication</t>
        </is>
      </c>
      <c r="C185" s="28" t="inlineStr">
        <is>
          <t>UI Layout, Styling &amp; Responsiveness</t>
        </is>
      </c>
      <c r="D185" s="26" t="inlineStr">
        <is>
          <t>P1 - High</t>
        </is>
      </c>
      <c r="E185" s="27" t="inlineStr">
        <is>
          <t>Compatibility</t>
        </is>
      </c>
      <c r="F185" s="28" t="inlineStr">
        <is>
          <t>UI - Device Orientation Switch (Portrait to Landscape)</t>
        </is>
      </c>
      <c r="G185" s="28" t="inlineStr">
        <is>
          <t>Login page rendered in web browser</t>
        </is>
      </c>
      <c r="H185" s="28" t="inlineStr">
        <is>
          <t>1. Rotate mobile viewport 90 deg. 2. Inspect layout visual presentation.</t>
        </is>
      </c>
      <c r="I185" s="28" t="inlineStr">
        <is>
          <t>Visual inspection</t>
        </is>
      </c>
      <c r="J185" s="28" t="inlineStr">
        <is>
          <t>Layout updates smoothly without element overlaps</t>
        </is>
      </c>
      <c r="K185" s="28" t="inlineStr">
        <is>
          <t>As expected</t>
        </is>
      </c>
      <c r="L185" s="25" t="inlineStr">
        <is>
          <t>Pass</t>
        </is>
      </c>
      <c r="M185" s="27" t="inlineStr">
        <is>
          <t>Automated</t>
        </is>
      </c>
    </row>
    <row r="186">
      <c r="A186" s="22" t="inlineStr">
        <is>
          <t>TC_LOG_185</t>
        </is>
      </c>
      <c r="B186" s="23" t="inlineStr">
        <is>
          <t>Authentication</t>
        </is>
      </c>
      <c r="C186" s="24" t="inlineStr">
        <is>
          <t>UI Layout, Styling &amp; Responsiveness</t>
        </is>
      </c>
      <c r="D186" s="22" t="inlineStr">
        <is>
          <t>P1 - High</t>
        </is>
      </c>
      <c r="E186" s="23" t="inlineStr">
        <is>
          <t>Compatibility</t>
        </is>
      </c>
      <c r="F186" s="24" t="inlineStr">
        <is>
          <t>UI - Brand Logo Image / SVG Render</t>
        </is>
      </c>
      <c r="G186" s="24" t="inlineStr">
        <is>
          <t>Login page rendered in web browser</t>
        </is>
      </c>
      <c r="H186" s="24" t="inlineStr">
        <is>
          <t>1. Inspect Brand component in header. 2. Inspect layout visual presentation.</t>
        </is>
      </c>
      <c r="I186" s="24" t="inlineStr">
        <is>
          <t>Visual inspection</t>
        </is>
      </c>
      <c r="J186" s="24" t="inlineStr">
        <is>
          <t>SVG logo renders sharply with correct aspect ratio</t>
        </is>
      </c>
      <c r="K186" s="24" t="inlineStr">
        <is>
          <t>As expected</t>
        </is>
      </c>
      <c r="L186" s="25" t="inlineStr">
        <is>
          <t>Pass</t>
        </is>
      </c>
      <c r="M186" s="23" t="inlineStr">
        <is>
          <t>Automated</t>
        </is>
      </c>
    </row>
    <row r="187">
      <c r="A187" s="26" t="inlineStr">
        <is>
          <t>TC_LOG_186</t>
        </is>
      </c>
      <c r="B187" s="27" t="inlineStr">
        <is>
          <t>Authentication</t>
        </is>
      </c>
      <c r="C187" s="28" t="inlineStr">
        <is>
          <t>UI Layout, Styling &amp; Responsiveness</t>
        </is>
      </c>
      <c r="D187" s="26" t="inlineStr">
        <is>
          <t>P1 - High</t>
        </is>
      </c>
      <c r="E187" s="27" t="inlineStr">
        <is>
          <t>Compatibility</t>
        </is>
      </c>
      <c r="F187" s="28" t="inlineStr">
        <is>
          <t>UI - Brand Title Typography</t>
        </is>
      </c>
      <c r="G187" s="28" t="inlineStr">
        <is>
          <t>Login page rendered in web browser</t>
        </is>
      </c>
      <c r="H187" s="28" t="inlineStr">
        <is>
          <t>1. Inspect SHAREBITE title text style. 2. Inspect layout visual presentation.</t>
        </is>
      </c>
      <c r="I187" s="28" t="inlineStr">
        <is>
          <t>Visual inspection</t>
        </is>
      </c>
      <c r="J187" s="28" t="inlineStr">
        <is>
          <t>Font family Inter/sans-serif with font-weight 800/extrabold</t>
        </is>
      </c>
      <c r="K187" s="28" t="inlineStr">
        <is>
          <t>As expected</t>
        </is>
      </c>
      <c r="L187" s="25" t="inlineStr">
        <is>
          <t>Pass</t>
        </is>
      </c>
      <c r="M187" s="27" t="inlineStr">
        <is>
          <t>Automated</t>
        </is>
      </c>
    </row>
    <row r="188">
      <c r="A188" s="22" t="inlineStr">
        <is>
          <t>TC_LOG_187</t>
        </is>
      </c>
      <c r="B188" s="23" t="inlineStr">
        <is>
          <t>Authentication</t>
        </is>
      </c>
      <c r="C188" s="24" t="inlineStr">
        <is>
          <t>UI Layout, Styling &amp; Responsiveness</t>
        </is>
      </c>
      <c r="D188" s="22" t="inlineStr">
        <is>
          <t>P1 - High</t>
        </is>
      </c>
      <c r="E188" s="23" t="inlineStr">
        <is>
          <t>Compatibility</t>
        </is>
      </c>
      <c r="F188" s="24" t="inlineStr">
        <is>
          <t>UI - Gradient Background Style</t>
        </is>
      </c>
      <c r="G188" s="24" t="inlineStr">
        <is>
          <t>Login page rendered in web browser</t>
        </is>
      </c>
      <c r="H188" s="24" t="inlineStr">
        <is>
          <t>1. Inspect main container background. 2. Inspect layout visual presentation.</t>
        </is>
      </c>
      <c r="I188" s="24" t="inlineStr">
        <is>
          <t>Visual inspection</t>
        </is>
      </c>
      <c r="J188" s="24" t="inlineStr">
        <is>
          <t>Slate-950 dark background with smooth gradient styling</t>
        </is>
      </c>
      <c r="K188" s="24" t="inlineStr">
        <is>
          <t>As expected</t>
        </is>
      </c>
      <c r="L188" s="25" t="inlineStr">
        <is>
          <t>Pass</t>
        </is>
      </c>
      <c r="M188" s="23" t="inlineStr">
        <is>
          <t>Automated</t>
        </is>
      </c>
    </row>
    <row r="189">
      <c r="A189" s="26" t="inlineStr">
        <is>
          <t>TC_LOG_188</t>
        </is>
      </c>
      <c r="B189" s="27" t="inlineStr">
        <is>
          <t>Authentication</t>
        </is>
      </c>
      <c r="C189" s="28" t="inlineStr">
        <is>
          <t>UI Layout, Styling &amp; Responsiveness</t>
        </is>
      </c>
      <c r="D189" s="26" t="inlineStr">
        <is>
          <t>P1 - High</t>
        </is>
      </c>
      <c r="E189" s="27" t="inlineStr">
        <is>
          <t>Compatibility</t>
        </is>
      </c>
      <c r="F189" s="28" t="inlineStr">
        <is>
          <t>UI - Form Card Glassmorphism / Shadow</t>
        </is>
      </c>
      <c r="G189" s="28" t="inlineStr">
        <is>
          <t>Login page rendered in web browser</t>
        </is>
      </c>
      <c r="H189" s="28" t="inlineStr">
        <is>
          <t>1. Inspect form card container CSS. 2. Inspect layout visual presentation.</t>
        </is>
      </c>
      <c r="I189" s="28" t="inlineStr">
        <is>
          <t>Visual inspection</t>
        </is>
      </c>
      <c r="J189" s="28" t="inlineStr">
        <is>
          <t>Border border-white/10, shadow-2xl, rounded-3xl applied</t>
        </is>
      </c>
      <c r="K189" s="28" t="inlineStr">
        <is>
          <t>As expected</t>
        </is>
      </c>
      <c r="L189" s="25" t="inlineStr">
        <is>
          <t>Pass</t>
        </is>
      </c>
      <c r="M189" s="27" t="inlineStr">
        <is>
          <t>Automated</t>
        </is>
      </c>
    </row>
    <row r="190">
      <c r="A190" s="22" t="inlineStr">
        <is>
          <t>TC_LOG_189</t>
        </is>
      </c>
      <c r="B190" s="23" t="inlineStr">
        <is>
          <t>Authentication</t>
        </is>
      </c>
      <c r="C190" s="24" t="inlineStr">
        <is>
          <t>UI Layout, Styling &amp; Responsiveness</t>
        </is>
      </c>
      <c r="D190" s="22" t="inlineStr">
        <is>
          <t>P1 - High</t>
        </is>
      </c>
      <c r="E190" s="23" t="inlineStr">
        <is>
          <t>UI/UX</t>
        </is>
      </c>
      <c r="F190" s="24" t="inlineStr">
        <is>
          <t>UI - Donor Button Selected Visual State</t>
        </is>
      </c>
      <c r="G190" s="24" t="inlineStr">
        <is>
          <t>Login page rendered in web browser</t>
        </is>
      </c>
      <c r="H190" s="24" t="inlineStr">
        <is>
          <t>1. Click Donor role button. 2. Inspect layout visual presentation.</t>
        </is>
      </c>
      <c r="I190" s="24" t="inlineStr">
        <is>
          <t>Visual inspection</t>
        </is>
      </c>
      <c r="J190" s="24" t="inlineStr">
        <is>
          <t>Orange border border-orange-400 and orange background active</t>
        </is>
      </c>
      <c r="K190" s="24" t="inlineStr">
        <is>
          <t>As expected</t>
        </is>
      </c>
      <c r="L190" s="25" t="inlineStr">
        <is>
          <t>Pass</t>
        </is>
      </c>
      <c r="M190" s="23" t="inlineStr">
        <is>
          <t>Automated</t>
        </is>
      </c>
    </row>
    <row r="191">
      <c r="A191" s="26" t="inlineStr">
        <is>
          <t>TC_LOG_190</t>
        </is>
      </c>
      <c r="B191" s="27" t="inlineStr">
        <is>
          <t>Authentication</t>
        </is>
      </c>
      <c r="C191" s="28" t="inlineStr">
        <is>
          <t>UI Layout, Styling &amp; Responsiveness</t>
        </is>
      </c>
      <c r="D191" s="26" t="inlineStr">
        <is>
          <t>P1 - High</t>
        </is>
      </c>
      <c r="E191" s="27" t="inlineStr">
        <is>
          <t>UI/UX</t>
        </is>
      </c>
      <c r="F191" s="28" t="inlineStr">
        <is>
          <t>UI - Receiver Button Selected Visual State</t>
        </is>
      </c>
      <c r="G191" s="28" t="inlineStr">
        <is>
          <t>Login page rendered in web browser</t>
        </is>
      </c>
      <c r="H191" s="28" t="inlineStr">
        <is>
          <t>1. Click Receiver role button. 2. Inspect layout visual presentation.</t>
        </is>
      </c>
      <c r="I191" s="28" t="inlineStr">
        <is>
          <t>Visual inspection</t>
        </is>
      </c>
      <c r="J191" s="28" t="inlineStr">
        <is>
          <t>Blue border border-blue-400 and blue background active</t>
        </is>
      </c>
      <c r="K191" s="28" t="inlineStr">
        <is>
          <t>As expected</t>
        </is>
      </c>
      <c r="L191" s="25" t="inlineStr">
        <is>
          <t>Pass</t>
        </is>
      </c>
      <c r="M191" s="27" t="inlineStr">
        <is>
          <t>Automated</t>
        </is>
      </c>
    </row>
    <row r="192">
      <c r="A192" s="22" t="inlineStr">
        <is>
          <t>TC_LOG_191</t>
        </is>
      </c>
      <c r="B192" s="23" t="inlineStr">
        <is>
          <t>Authentication</t>
        </is>
      </c>
      <c r="C192" s="24" t="inlineStr">
        <is>
          <t>UI Layout, Styling &amp; Responsiveness</t>
        </is>
      </c>
      <c r="D192" s="22" t="inlineStr">
        <is>
          <t>P1 - High</t>
        </is>
      </c>
      <c r="E192" s="23" t="inlineStr">
        <is>
          <t>Compatibility</t>
        </is>
      </c>
      <c r="F192" s="24" t="inlineStr">
        <is>
          <t>UI - Donor Icon Rendering</t>
        </is>
      </c>
      <c r="G192" s="24" t="inlineStr">
        <is>
          <t>Login page rendered in web browser</t>
        </is>
      </c>
      <c r="H192" s="24" t="inlineStr">
        <is>
          <t>1. Inspect Donor button PackagePlus icon. 2. Inspect layout visual presentation.</t>
        </is>
      </c>
      <c r="I192" s="24" t="inlineStr">
        <is>
          <t>Visual inspection</t>
        </is>
      </c>
      <c r="J192" s="24" t="inlineStr">
        <is>
          <t>Orange icon renders cleanly next to label</t>
        </is>
      </c>
      <c r="K192" s="24" t="inlineStr">
        <is>
          <t>As expected</t>
        </is>
      </c>
      <c r="L192" s="25" t="inlineStr">
        <is>
          <t>Pass</t>
        </is>
      </c>
      <c r="M192" s="23" t="inlineStr">
        <is>
          <t>Manual</t>
        </is>
      </c>
    </row>
    <row r="193">
      <c r="A193" s="26" t="inlineStr">
        <is>
          <t>TC_LOG_192</t>
        </is>
      </c>
      <c r="B193" s="27" t="inlineStr">
        <is>
          <t>Authentication</t>
        </is>
      </c>
      <c r="C193" s="28" t="inlineStr">
        <is>
          <t>UI Layout, Styling &amp; Responsiveness</t>
        </is>
      </c>
      <c r="D193" s="26" t="inlineStr">
        <is>
          <t>P1 - High</t>
        </is>
      </c>
      <c r="E193" s="27" t="inlineStr">
        <is>
          <t>Compatibility</t>
        </is>
      </c>
      <c r="F193" s="28" t="inlineStr">
        <is>
          <t>UI - Receiver Icon Rendering</t>
        </is>
      </c>
      <c r="G193" s="28" t="inlineStr">
        <is>
          <t>Login page rendered in web browser</t>
        </is>
      </c>
      <c r="H193" s="28" t="inlineStr">
        <is>
          <t>1. Inspect Receiver button HandHeart icon. 2. Inspect layout visual presentation.</t>
        </is>
      </c>
      <c r="I193" s="28" t="inlineStr">
        <is>
          <t>Visual inspection</t>
        </is>
      </c>
      <c r="J193" s="28" t="inlineStr">
        <is>
          <t>Blue icon renders cleanly next to label</t>
        </is>
      </c>
      <c r="K193" s="28" t="inlineStr">
        <is>
          <t>As expected</t>
        </is>
      </c>
      <c r="L193" s="25" t="inlineStr">
        <is>
          <t>Pass</t>
        </is>
      </c>
      <c r="M193" s="27" t="inlineStr">
        <is>
          <t>Manual</t>
        </is>
      </c>
    </row>
    <row r="194">
      <c r="A194" s="22" t="inlineStr">
        <is>
          <t>TC_LOG_193</t>
        </is>
      </c>
      <c r="B194" s="23" t="inlineStr">
        <is>
          <t>Authentication</t>
        </is>
      </c>
      <c r="C194" s="24" t="inlineStr">
        <is>
          <t>UI Layout, Styling &amp; Responsiveness</t>
        </is>
      </c>
      <c r="D194" s="22" t="inlineStr">
        <is>
          <t>P1 - High</t>
        </is>
      </c>
      <c r="E194" s="23" t="inlineStr">
        <is>
          <t>Compatibility</t>
        </is>
      </c>
      <c r="F194" s="24" t="inlineStr">
        <is>
          <t>UI - Submit Button Gradient Fill</t>
        </is>
      </c>
      <c r="G194" s="24" t="inlineStr">
        <is>
          <t>Login page rendered in web browser</t>
        </is>
      </c>
      <c r="H194" s="24" t="inlineStr">
        <is>
          <t>1. Inspect submit button CSS. 2. Inspect layout visual presentation.</t>
        </is>
      </c>
      <c r="I194" s="24" t="inlineStr">
        <is>
          <t>Visual inspection</t>
        </is>
      </c>
      <c r="J194" s="24" t="inlineStr">
        <is>
          <t>Gradient from-teal-500 to-emerald-600 renders correctly</t>
        </is>
      </c>
      <c r="K194" s="24" t="inlineStr">
        <is>
          <t>As expected</t>
        </is>
      </c>
      <c r="L194" s="25" t="inlineStr">
        <is>
          <t>Pass</t>
        </is>
      </c>
      <c r="M194" s="23" t="inlineStr">
        <is>
          <t>Manual</t>
        </is>
      </c>
    </row>
    <row r="195">
      <c r="A195" s="26" t="inlineStr">
        <is>
          <t>TC_LOG_194</t>
        </is>
      </c>
      <c r="B195" s="27" t="inlineStr">
        <is>
          <t>Authentication</t>
        </is>
      </c>
      <c r="C195" s="28" t="inlineStr">
        <is>
          <t>UI Layout, Styling &amp; Responsiveness</t>
        </is>
      </c>
      <c r="D195" s="26" t="inlineStr">
        <is>
          <t>P1 - High</t>
        </is>
      </c>
      <c r="E195" s="27" t="inlineStr">
        <is>
          <t>Compatibility</t>
        </is>
      </c>
      <c r="F195" s="28" t="inlineStr">
        <is>
          <t>UI - Submit Button Hover State</t>
        </is>
      </c>
      <c r="G195" s="28" t="inlineStr">
        <is>
          <t>Login page rendered in web browser</t>
        </is>
      </c>
      <c r="H195" s="28" t="inlineStr">
        <is>
          <t>1. Hover over submit button. 2. Inspect layout visual presentation.</t>
        </is>
      </c>
      <c r="I195" s="28" t="inlineStr">
        <is>
          <t>Visual inspection</t>
        </is>
      </c>
      <c r="J195" s="28" t="inlineStr">
        <is>
          <t>Brightness-110 hover effect triggers smoothly</t>
        </is>
      </c>
      <c r="K195" s="28" t="inlineStr">
        <is>
          <t>As expected</t>
        </is>
      </c>
      <c r="L195" s="25" t="inlineStr">
        <is>
          <t>Pass</t>
        </is>
      </c>
      <c r="M195" s="27" t="inlineStr">
        <is>
          <t>Manual</t>
        </is>
      </c>
    </row>
    <row r="196">
      <c r="A196" s="22" t="inlineStr">
        <is>
          <t>TC_LOG_195</t>
        </is>
      </c>
      <c r="B196" s="23" t="inlineStr">
        <is>
          <t>Authentication</t>
        </is>
      </c>
      <c r="C196" s="24" t="inlineStr">
        <is>
          <t>UI Layout, Styling &amp; Responsiveness</t>
        </is>
      </c>
      <c r="D196" s="22" t="inlineStr">
        <is>
          <t>P1 - High</t>
        </is>
      </c>
      <c r="E196" s="23" t="inlineStr">
        <is>
          <t>Compatibility</t>
        </is>
      </c>
      <c r="F196" s="24" t="inlineStr">
        <is>
          <t>UI - Home Button Hover State</t>
        </is>
      </c>
      <c r="G196" s="24" t="inlineStr">
        <is>
          <t>Login page rendered in web browser</t>
        </is>
      </c>
      <c r="H196" s="24" t="inlineStr">
        <is>
          <t>1. Hover over 'Home' navigation button. 2. Inspect layout visual presentation.</t>
        </is>
      </c>
      <c r="I196" s="24" t="inlineStr">
        <is>
          <t>Visual inspection</t>
        </is>
      </c>
      <c r="J196" s="24" t="inlineStr">
        <is>
          <t>Background changes to white/10 on hover</t>
        </is>
      </c>
      <c r="K196" s="24" t="inlineStr">
        <is>
          <t>As expected</t>
        </is>
      </c>
      <c r="L196" s="25" t="inlineStr">
        <is>
          <t>Pass</t>
        </is>
      </c>
      <c r="M196" s="23" t="inlineStr">
        <is>
          <t>Manual</t>
        </is>
      </c>
    </row>
    <row r="197">
      <c r="A197" s="26" t="inlineStr">
        <is>
          <t>TC_LOG_196</t>
        </is>
      </c>
      <c r="B197" s="27" t="inlineStr">
        <is>
          <t>Authentication</t>
        </is>
      </c>
      <c r="C197" s="28" t="inlineStr">
        <is>
          <t>UI Layout, Styling &amp; Responsiveness</t>
        </is>
      </c>
      <c r="D197" s="26" t="inlineStr">
        <is>
          <t>P2 - Medium</t>
        </is>
      </c>
      <c r="E197" s="27" t="inlineStr">
        <is>
          <t>Compatibility</t>
        </is>
      </c>
      <c r="F197" s="28" t="inlineStr">
        <is>
          <t>UI - Sign Up Toggle Link Hover State</t>
        </is>
      </c>
      <c r="G197" s="28" t="inlineStr">
        <is>
          <t>Login page rendered in web browser</t>
        </is>
      </c>
      <c r="H197" s="28" t="inlineStr">
        <is>
          <t>1. Hover over 'Need an account? Sign up'. 2. Inspect layout visual presentation.</t>
        </is>
      </c>
      <c r="I197" s="28" t="inlineStr">
        <is>
          <t>Visual inspection</t>
        </is>
      </c>
      <c r="J197" s="28" t="inlineStr">
        <is>
          <t>Underline text decoration appears on hover</t>
        </is>
      </c>
      <c r="K197" s="28" t="inlineStr">
        <is>
          <t>As expected</t>
        </is>
      </c>
      <c r="L197" s="25" t="inlineStr">
        <is>
          <t>Pass</t>
        </is>
      </c>
      <c r="M197" s="27" t="inlineStr">
        <is>
          <t>Manual</t>
        </is>
      </c>
    </row>
    <row r="198">
      <c r="A198" s="22" t="inlineStr">
        <is>
          <t>TC_LOG_197</t>
        </is>
      </c>
      <c r="B198" s="23" t="inlineStr">
        <is>
          <t>Authentication</t>
        </is>
      </c>
      <c r="C198" s="24" t="inlineStr">
        <is>
          <t>UI Layout, Styling &amp; Responsiveness</t>
        </is>
      </c>
      <c r="D198" s="22" t="inlineStr">
        <is>
          <t>P2 - Medium</t>
        </is>
      </c>
      <c r="E198" s="23" t="inlineStr">
        <is>
          <t>Compatibility</t>
        </is>
      </c>
      <c r="F198" s="24" t="inlineStr">
        <is>
          <t>UI - Font Size Accessibility (Browser Zoom 200%)</t>
        </is>
      </c>
      <c r="G198" s="24" t="inlineStr">
        <is>
          <t>Login page rendered in web browser</t>
        </is>
      </c>
      <c r="H198" s="24" t="inlineStr">
        <is>
          <t>1. Set browser zoom level to 200%. 2. Inspect layout visual presentation.</t>
        </is>
      </c>
      <c r="I198" s="24" t="inlineStr">
        <is>
          <t>Visual inspection</t>
        </is>
      </c>
      <c r="J198" s="24" t="inlineStr">
        <is>
          <t>Text and inputs reflow without overlapping or clipping</t>
        </is>
      </c>
      <c r="K198" s="24" t="inlineStr">
        <is>
          <t>As expected</t>
        </is>
      </c>
      <c r="L198" s="25" t="inlineStr">
        <is>
          <t>Pass</t>
        </is>
      </c>
      <c r="M198" s="23" t="inlineStr">
        <is>
          <t>Manual</t>
        </is>
      </c>
    </row>
    <row r="199">
      <c r="A199" s="26" t="inlineStr">
        <is>
          <t>TC_LOG_198</t>
        </is>
      </c>
      <c r="B199" s="27" t="inlineStr">
        <is>
          <t>Authentication</t>
        </is>
      </c>
      <c r="C199" s="28" t="inlineStr">
        <is>
          <t>UI Layout, Styling &amp; Responsiveness</t>
        </is>
      </c>
      <c r="D199" s="26" t="inlineStr">
        <is>
          <t>P2 - Medium</t>
        </is>
      </c>
      <c r="E199" s="27" t="inlineStr">
        <is>
          <t>Compatibility</t>
        </is>
      </c>
      <c r="F199" s="28" t="inlineStr">
        <is>
          <t>UI - Font Size Accessibility (Browser Zoom 400%)</t>
        </is>
      </c>
      <c r="G199" s="28" t="inlineStr">
        <is>
          <t>Login page rendered in web browser</t>
        </is>
      </c>
      <c r="H199" s="28" t="inlineStr">
        <is>
          <t>1. Set browser zoom level to 400%. 2. Inspect layout visual presentation.</t>
        </is>
      </c>
      <c r="I199" s="28" t="inlineStr">
        <is>
          <t>Visual inspection</t>
        </is>
      </c>
      <c r="J199" s="28" t="inlineStr">
        <is>
          <t>Layout reflows into single column without text truncation</t>
        </is>
      </c>
      <c r="K199" s="28" t="inlineStr">
        <is>
          <t>As expected</t>
        </is>
      </c>
      <c r="L199" s="25" t="inlineStr">
        <is>
          <t>Pass</t>
        </is>
      </c>
      <c r="M199" s="27" t="inlineStr">
        <is>
          <t>Manual</t>
        </is>
      </c>
    </row>
    <row r="200">
      <c r="A200" s="22" t="inlineStr">
        <is>
          <t>TC_LOG_199</t>
        </is>
      </c>
      <c r="B200" s="23" t="inlineStr">
        <is>
          <t>Authentication</t>
        </is>
      </c>
      <c r="C200" s="24" t="inlineStr">
        <is>
          <t>UI Layout, Styling &amp; Responsiveness</t>
        </is>
      </c>
      <c r="D200" s="22" t="inlineStr">
        <is>
          <t>P2 - Medium</t>
        </is>
      </c>
      <c r="E200" s="23" t="inlineStr">
        <is>
          <t>Compatibility</t>
        </is>
      </c>
      <c r="F200" s="24" t="inlineStr">
        <is>
          <t>UI - Dark Mode High Contrast Text</t>
        </is>
      </c>
      <c r="G200" s="24" t="inlineStr">
        <is>
          <t>Login page rendered in web browser</t>
        </is>
      </c>
      <c r="H200" s="24" t="inlineStr">
        <is>
          <t>1. Check text color on dark slate background. 2. Inspect layout visual presentation.</t>
        </is>
      </c>
      <c r="I200" s="24" t="inlineStr">
        <is>
          <t>Visual inspection</t>
        </is>
      </c>
      <c r="J200" s="24" t="inlineStr">
        <is>
          <t>White / slate-200 text provides high contrast</t>
        </is>
      </c>
      <c r="K200" s="24" t="inlineStr">
        <is>
          <t>As expected</t>
        </is>
      </c>
      <c r="L200" s="25" t="inlineStr">
        <is>
          <t>Pass</t>
        </is>
      </c>
      <c r="M200" s="23" t="inlineStr">
        <is>
          <t>Manual</t>
        </is>
      </c>
    </row>
    <row r="201">
      <c r="A201" s="26" t="inlineStr">
        <is>
          <t>TC_LOG_200</t>
        </is>
      </c>
      <c r="B201" s="27" t="inlineStr">
        <is>
          <t>Authentication</t>
        </is>
      </c>
      <c r="C201" s="28" t="inlineStr">
        <is>
          <t>UI Layout, Styling &amp; Responsiveness</t>
        </is>
      </c>
      <c r="D201" s="26" t="inlineStr">
        <is>
          <t>P2 - Medium</t>
        </is>
      </c>
      <c r="E201" s="27" t="inlineStr">
        <is>
          <t>Compatibility</t>
        </is>
      </c>
      <c r="F201" s="28" t="inlineStr">
        <is>
          <t>UI - Light Theme Form Card Text Contrast</t>
        </is>
      </c>
      <c r="G201" s="28" t="inlineStr">
        <is>
          <t>Login page rendered in web browser</t>
        </is>
      </c>
      <c r="H201" s="28" t="inlineStr">
        <is>
          <t>1. Check text color inside white form card. 2. Inspect layout visual presentation.</t>
        </is>
      </c>
      <c r="I201" s="28" t="inlineStr">
        <is>
          <t>Visual inspection</t>
        </is>
      </c>
      <c r="J201" s="28" t="inlineStr">
        <is>
          <t>Slate-900 text on white background meets WCAG AAA contrast</t>
        </is>
      </c>
      <c r="K201" s="28" t="inlineStr">
        <is>
          <t>As expected</t>
        </is>
      </c>
      <c r="L201" s="25" t="inlineStr">
        <is>
          <t>Pass</t>
        </is>
      </c>
      <c r="M201" s="27" t="inlineStr">
        <is>
          <t>Manual</t>
        </is>
      </c>
    </row>
    <row r="202">
      <c r="A202" s="22" t="inlineStr">
        <is>
          <t>TC_LOG_201</t>
        </is>
      </c>
      <c r="B202" s="23" t="inlineStr">
        <is>
          <t>Authentication</t>
        </is>
      </c>
      <c r="C202" s="24" t="inlineStr">
        <is>
          <t>UI Layout, Styling &amp; Responsiveness</t>
        </is>
      </c>
      <c r="D202" s="22" t="inlineStr">
        <is>
          <t>P2 - Medium</t>
        </is>
      </c>
      <c r="E202" s="23" t="inlineStr">
        <is>
          <t>Compatibility</t>
        </is>
      </c>
      <c r="F202" s="24" t="inlineStr">
        <is>
          <t>UI - Consistent Padding &amp; Margins</t>
        </is>
      </c>
      <c r="G202" s="24" t="inlineStr">
        <is>
          <t>Login page rendered in web browser</t>
        </is>
      </c>
      <c r="H202" s="24" t="inlineStr">
        <is>
          <t>1. Measure padding across mobile and desktop. 2. Inspect layout visual presentation.</t>
        </is>
      </c>
      <c r="I202" s="24" t="inlineStr">
        <is>
          <t>Visual inspection</t>
        </is>
      </c>
      <c r="J202" s="24" t="inlineStr">
        <is>
          <t>Consistent spacing scale (p-6 sm:p-8) applied</t>
        </is>
      </c>
      <c r="K202" s="24" t="inlineStr">
        <is>
          <t>As expected</t>
        </is>
      </c>
      <c r="L202" s="25" t="inlineStr">
        <is>
          <t>Pass</t>
        </is>
      </c>
      <c r="M202" s="23" t="inlineStr">
        <is>
          <t>Manual</t>
        </is>
      </c>
    </row>
    <row r="203">
      <c r="A203" s="26" t="inlineStr">
        <is>
          <t>TC_LOG_202</t>
        </is>
      </c>
      <c r="B203" s="27" t="inlineStr">
        <is>
          <t>Authentication</t>
        </is>
      </c>
      <c r="C203" s="28" t="inlineStr">
        <is>
          <t>UI Layout, Styling &amp; Responsiveness</t>
        </is>
      </c>
      <c r="D203" s="26" t="inlineStr">
        <is>
          <t>P2 - Medium</t>
        </is>
      </c>
      <c r="E203" s="27" t="inlineStr">
        <is>
          <t>Compatibility</t>
        </is>
      </c>
      <c r="F203" s="28" t="inlineStr">
        <is>
          <t>UI - Input Border Radius Consistency</t>
        </is>
      </c>
      <c r="G203" s="28" t="inlineStr">
        <is>
          <t>Login page rendered in web browser</t>
        </is>
      </c>
      <c r="H203" s="28" t="inlineStr">
        <is>
          <t>1. Inspect input rounded corners. 2. Inspect layout visual presentation.</t>
        </is>
      </c>
      <c r="I203" s="28" t="inlineStr">
        <is>
          <t>Visual inspection</t>
        </is>
      </c>
      <c r="J203" s="28" t="inlineStr">
        <is>
          <t>rounded-xl styling uniform across all fields</t>
        </is>
      </c>
      <c r="K203" s="28" t="inlineStr">
        <is>
          <t>As expected</t>
        </is>
      </c>
      <c r="L203" s="25" t="inlineStr">
        <is>
          <t>Pass</t>
        </is>
      </c>
      <c r="M203" s="27" t="inlineStr">
        <is>
          <t>Manual</t>
        </is>
      </c>
    </row>
    <row r="204">
      <c r="A204" s="22" t="inlineStr">
        <is>
          <t>TC_LOG_203</t>
        </is>
      </c>
      <c r="B204" s="23" t="inlineStr">
        <is>
          <t>Authentication</t>
        </is>
      </c>
      <c r="C204" s="24" t="inlineStr">
        <is>
          <t>UI Layout, Styling &amp; Responsiveness</t>
        </is>
      </c>
      <c r="D204" s="22" t="inlineStr">
        <is>
          <t>P2 - Medium</t>
        </is>
      </c>
      <c r="E204" s="23" t="inlineStr">
        <is>
          <t>Compatibility</t>
        </is>
      </c>
      <c r="F204" s="24" t="inlineStr">
        <is>
          <t>UI - Custom Scrollbar Styling</t>
        </is>
      </c>
      <c r="G204" s="24" t="inlineStr">
        <is>
          <t>Login page rendered in web browser</t>
        </is>
      </c>
      <c r="H204" s="24" t="inlineStr">
        <is>
          <t>1. Overflow page content. 2. Inspect layout visual presentation.</t>
        </is>
      </c>
      <c r="I204" s="24" t="inlineStr">
        <is>
          <t>Visual inspection</t>
        </is>
      </c>
      <c r="J204" s="24" t="inlineStr">
        <is>
          <t>Scrollbar styled subtly matching dark theme</t>
        </is>
      </c>
      <c r="K204" s="24" t="inlineStr">
        <is>
          <t>As expected</t>
        </is>
      </c>
      <c r="L204" s="25" t="inlineStr">
        <is>
          <t>Pass</t>
        </is>
      </c>
      <c r="M204" s="23" t="inlineStr">
        <is>
          <t>Manual</t>
        </is>
      </c>
    </row>
    <row r="205">
      <c r="A205" s="26" t="inlineStr">
        <is>
          <t>TC_LOG_204</t>
        </is>
      </c>
      <c r="B205" s="27" t="inlineStr">
        <is>
          <t>Authentication</t>
        </is>
      </c>
      <c r="C205" s="28" t="inlineStr">
        <is>
          <t>UI Layout, Styling &amp; Responsiveness</t>
        </is>
      </c>
      <c r="D205" s="26" t="inlineStr">
        <is>
          <t>P2 - Medium</t>
        </is>
      </c>
      <c r="E205" s="27" t="inlineStr">
        <is>
          <t>Compatibility</t>
        </is>
      </c>
      <c r="F205" s="28" t="inlineStr">
        <is>
          <t>UI - Favicon Icon Link</t>
        </is>
      </c>
      <c r="G205" s="28" t="inlineStr">
        <is>
          <t>Login page rendered in web browser</t>
        </is>
      </c>
      <c r="H205" s="28" t="inlineStr">
        <is>
          <t>1. Inspect HTML &lt;head&gt; element. 2. Inspect layout visual presentation.</t>
        </is>
      </c>
      <c r="I205" s="28" t="inlineStr">
        <is>
          <t>Visual inspection</t>
        </is>
      </c>
      <c r="J205" s="28" t="inlineStr">
        <is>
          <t>Favicon icon loaded without 404 error</t>
        </is>
      </c>
      <c r="K205" s="28" t="inlineStr">
        <is>
          <t>As expected</t>
        </is>
      </c>
      <c r="L205" s="25" t="inlineStr">
        <is>
          <t>Pass</t>
        </is>
      </c>
      <c r="M205" s="27" t="inlineStr">
        <is>
          <t>Manual</t>
        </is>
      </c>
    </row>
    <row r="206">
      <c r="A206" s="22" t="inlineStr">
        <is>
          <t>TC_LOG_205</t>
        </is>
      </c>
      <c r="B206" s="23" t="inlineStr">
        <is>
          <t>Authentication</t>
        </is>
      </c>
      <c r="C206" s="24" t="inlineStr">
        <is>
          <t>UI Layout, Styling &amp; Responsiveness</t>
        </is>
      </c>
      <c r="D206" s="22" t="inlineStr">
        <is>
          <t>P2 - Medium</t>
        </is>
      </c>
      <c r="E206" s="23" t="inlineStr">
        <is>
          <t>Compatibility</t>
        </is>
      </c>
      <c r="F206" s="24" t="inlineStr">
        <is>
          <t>UI - Meta Viewport Tag Presence</t>
        </is>
      </c>
      <c r="G206" s="24" t="inlineStr">
        <is>
          <t>Login page rendered in web browser</t>
        </is>
      </c>
      <c r="H206" s="24" t="inlineStr">
        <is>
          <t>1. Inspect HTML &lt;head&gt;. 2. Inspect layout visual presentation.</t>
        </is>
      </c>
      <c r="I206" s="24" t="inlineStr">
        <is>
          <t>Visual inspection</t>
        </is>
      </c>
      <c r="J206" s="24" t="inlineStr">
        <is>
          <t>meta viewport content='width=device-width, initial-scale=1.0' present</t>
        </is>
      </c>
      <c r="K206" s="24" t="inlineStr">
        <is>
          <t>As expected</t>
        </is>
      </c>
      <c r="L206" s="25" t="inlineStr">
        <is>
          <t>Pass</t>
        </is>
      </c>
      <c r="M206" s="23" t="inlineStr">
        <is>
          <t>Manual</t>
        </is>
      </c>
    </row>
    <row r="207">
      <c r="A207" s="26" t="inlineStr">
        <is>
          <t>TC_LOG_206</t>
        </is>
      </c>
      <c r="B207" s="27" t="inlineStr">
        <is>
          <t>Authentication</t>
        </is>
      </c>
      <c r="C207" s="28" t="inlineStr">
        <is>
          <t>UI Layout, Styling &amp; Responsiveness</t>
        </is>
      </c>
      <c r="D207" s="26" t="inlineStr">
        <is>
          <t>P2 - Medium</t>
        </is>
      </c>
      <c r="E207" s="27" t="inlineStr">
        <is>
          <t>Compatibility</t>
        </is>
      </c>
      <c r="F207" s="28" t="inlineStr">
        <is>
          <t>UI - Page Document Title Tag</t>
        </is>
      </c>
      <c r="G207" s="28" t="inlineStr">
        <is>
          <t>Login page rendered in web browser</t>
        </is>
      </c>
      <c r="H207" s="28" t="inlineStr">
        <is>
          <t>1. Inspect document.title. 2. Inspect layout visual presentation.</t>
        </is>
      </c>
      <c r="I207" s="28" t="inlineStr">
        <is>
          <t>Visual inspection</t>
        </is>
      </c>
      <c r="J207" s="28" t="inlineStr">
        <is>
          <t>Title set to 'SHAREBITE - Food Sharing Platform'</t>
        </is>
      </c>
      <c r="K207" s="28" t="inlineStr">
        <is>
          <t>As expected</t>
        </is>
      </c>
      <c r="L207" s="25" t="inlineStr">
        <is>
          <t>Pass</t>
        </is>
      </c>
      <c r="M207" s="27" t="inlineStr">
        <is>
          <t>Manual</t>
        </is>
      </c>
    </row>
    <row r="208">
      <c r="A208" s="22" t="inlineStr">
        <is>
          <t>TC_LOG_207</t>
        </is>
      </c>
      <c r="B208" s="23" t="inlineStr">
        <is>
          <t>Authentication</t>
        </is>
      </c>
      <c r="C208" s="24" t="inlineStr">
        <is>
          <t>UI Layout, Styling &amp; Responsiveness</t>
        </is>
      </c>
      <c r="D208" s="22" t="inlineStr">
        <is>
          <t>P2 - Medium</t>
        </is>
      </c>
      <c r="E208" s="23" t="inlineStr">
        <is>
          <t>Compatibility</t>
        </is>
      </c>
      <c r="F208" s="24" t="inlineStr">
        <is>
          <t>UI - Meta Description Tag Presence</t>
        </is>
      </c>
      <c r="G208" s="24" t="inlineStr">
        <is>
          <t>Login page rendered in web browser</t>
        </is>
      </c>
      <c r="H208" s="24" t="inlineStr">
        <is>
          <t>1. Inspect meta description. 2. Inspect layout visual presentation.</t>
        </is>
      </c>
      <c r="I208" s="24" t="inlineStr">
        <is>
          <t>Visual inspection</t>
        </is>
      </c>
      <c r="J208" s="24" t="inlineStr">
        <is>
          <t>Meta description present for SEO best practices</t>
        </is>
      </c>
      <c r="K208" s="24" t="inlineStr">
        <is>
          <t>As expected</t>
        </is>
      </c>
      <c r="L208" s="25" t="inlineStr">
        <is>
          <t>Pass</t>
        </is>
      </c>
      <c r="M208" s="23" t="inlineStr">
        <is>
          <t>Manual</t>
        </is>
      </c>
    </row>
    <row r="209">
      <c r="A209" s="26" t="inlineStr">
        <is>
          <t>TC_LOG_208</t>
        </is>
      </c>
      <c r="B209" s="27" t="inlineStr">
        <is>
          <t>Authentication</t>
        </is>
      </c>
      <c r="C209" s="28" t="inlineStr">
        <is>
          <t>UI Layout, Styling &amp; Responsiveness</t>
        </is>
      </c>
      <c r="D209" s="26" t="inlineStr">
        <is>
          <t>P2 - Medium</t>
        </is>
      </c>
      <c r="E209" s="27" t="inlineStr">
        <is>
          <t>Compatibility</t>
        </is>
      </c>
      <c r="F209" s="28" t="inlineStr">
        <is>
          <t>UI - OpenGraph Social Share Tags</t>
        </is>
      </c>
      <c r="G209" s="28" t="inlineStr">
        <is>
          <t>Login page rendered in web browser</t>
        </is>
      </c>
      <c r="H209" s="28" t="inlineStr">
        <is>
          <t>1. Inspect og:title and og:image tags. 2. Inspect layout visual presentation.</t>
        </is>
      </c>
      <c r="I209" s="28" t="inlineStr">
        <is>
          <t>Visual inspection</t>
        </is>
      </c>
      <c r="J209" s="28" t="inlineStr">
        <is>
          <t>OpenGraph meta tags configured for social links</t>
        </is>
      </c>
      <c r="K209" s="28" t="inlineStr">
        <is>
          <t>As expected</t>
        </is>
      </c>
      <c r="L209" s="25" t="inlineStr">
        <is>
          <t>Pass</t>
        </is>
      </c>
      <c r="M209" s="27" t="inlineStr">
        <is>
          <t>Manual</t>
        </is>
      </c>
    </row>
    <row r="210">
      <c r="A210" s="22" t="inlineStr">
        <is>
          <t>TC_LOG_209</t>
        </is>
      </c>
      <c r="B210" s="23" t="inlineStr">
        <is>
          <t>Authentication</t>
        </is>
      </c>
      <c r="C210" s="24" t="inlineStr">
        <is>
          <t>UI Layout, Styling &amp; Responsiveness</t>
        </is>
      </c>
      <c r="D210" s="22" t="inlineStr">
        <is>
          <t>P2 - Medium</t>
        </is>
      </c>
      <c r="E210" s="23" t="inlineStr">
        <is>
          <t>UI/UX</t>
        </is>
      </c>
      <c r="F210" s="24" t="inlineStr">
        <is>
          <t>UI - No Layout Shift (CLS score)</t>
        </is>
      </c>
      <c r="G210" s="24" t="inlineStr">
        <is>
          <t>Login page rendered in web browser</t>
        </is>
      </c>
      <c r="H210" s="24" t="inlineStr">
        <is>
          <t>1. Measure Cumulative Layout Shift during page load. 2. Inspect layout visual presentation.</t>
        </is>
      </c>
      <c r="I210" s="24" t="inlineStr">
        <is>
          <t>Visual inspection</t>
        </is>
      </c>
      <c r="J210" s="24" t="inlineStr">
        <is>
          <t>CLS score &lt; 0.1 during initial render</t>
        </is>
      </c>
      <c r="K210" s="24" t="inlineStr">
        <is>
          <t>As expected</t>
        </is>
      </c>
      <c r="L210" s="25" t="inlineStr">
        <is>
          <t>Pass</t>
        </is>
      </c>
      <c r="M210" s="23" t="inlineStr">
        <is>
          <t>Manual</t>
        </is>
      </c>
    </row>
    <row r="211">
      <c r="A211" s="26" t="inlineStr">
        <is>
          <t>TC_LOG_210</t>
        </is>
      </c>
      <c r="B211" s="27" t="inlineStr">
        <is>
          <t>Authentication</t>
        </is>
      </c>
      <c r="C211" s="28" t="inlineStr">
        <is>
          <t>UI Layout, Styling &amp; Responsiveness</t>
        </is>
      </c>
      <c r="D211" s="26" t="inlineStr">
        <is>
          <t>P2 - Medium</t>
        </is>
      </c>
      <c r="E211" s="27" t="inlineStr">
        <is>
          <t>Compatibility</t>
        </is>
      </c>
      <c r="F211" s="28" t="inlineStr">
        <is>
          <t>UI - Font Loading Optimization</t>
        </is>
      </c>
      <c r="G211" s="28" t="inlineStr">
        <is>
          <t>Login page rendered in web browser</t>
        </is>
      </c>
      <c r="H211" s="28" t="inlineStr">
        <is>
          <t>1. Inspect network font requests. 2. Inspect layout visual presentation.</t>
        </is>
      </c>
      <c r="I211" s="28" t="inlineStr">
        <is>
          <t>Visual inspection</t>
        </is>
      </c>
      <c r="J211" s="28" t="inlineStr">
        <is>
          <t>Google Fonts loaded with font-display: swap</t>
        </is>
      </c>
      <c r="K211" s="28" t="inlineStr">
        <is>
          <t>As expected</t>
        </is>
      </c>
      <c r="L211" s="25" t="inlineStr">
        <is>
          <t>Pass</t>
        </is>
      </c>
      <c r="M211" s="27" t="inlineStr">
        <is>
          <t>Manual</t>
        </is>
      </c>
    </row>
    <row r="212">
      <c r="A212" s="22" t="inlineStr">
        <is>
          <t>TC_LOG_211</t>
        </is>
      </c>
      <c r="B212" s="23" t="inlineStr">
        <is>
          <t>Authentication</t>
        </is>
      </c>
      <c r="C212" s="24" t="inlineStr">
        <is>
          <t>Navigation &amp; Route Transitions</t>
        </is>
      </c>
      <c r="D212" s="22" t="inlineStr">
        <is>
          <t>P1 - High</t>
        </is>
      </c>
      <c r="E212" s="23" t="inlineStr">
        <is>
          <t>Functional</t>
        </is>
      </c>
      <c r="F212" s="24" t="inlineStr">
        <is>
          <t>Navigation - Home Button Navigation</t>
        </is>
      </c>
      <c r="G212" s="24" t="inlineStr">
        <is>
          <t>SHAREBITE SPA router initialized</t>
        </is>
      </c>
      <c r="H212" s="24" t="inlineStr">
        <is>
          <t>1. Click 'Home' button top right. 2. Verify router state.</t>
        </is>
      </c>
      <c r="I212" s="24" t="inlineStr">
        <is>
          <t>Route transition</t>
        </is>
      </c>
      <c r="J212" s="24" t="inlineStr">
        <is>
          <t>Navigates to root landing page '/'</t>
        </is>
      </c>
      <c r="K212" s="24" t="inlineStr">
        <is>
          <t>As expected</t>
        </is>
      </c>
      <c r="L212" s="25" t="inlineStr">
        <is>
          <t>Pass</t>
        </is>
      </c>
      <c r="M212" s="23" t="inlineStr">
        <is>
          <t>Automated</t>
        </is>
      </c>
    </row>
    <row r="213">
      <c r="A213" s="26" t="inlineStr">
        <is>
          <t>TC_LOG_212</t>
        </is>
      </c>
      <c r="B213" s="27" t="inlineStr">
        <is>
          <t>Authentication</t>
        </is>
      </c>
      <c r="C213" s="28" t="inlineStr">
        <is>
          <t>Navigation &amp; Route Transitions</t>
        </is>
      </c>
      <c r="D213" s="26" t="inlineStr">
        <is>
          <t>P1 - High</t>
        </is>
      </c>
      <c r="E213" s="27" t="inlineStr">
        <is>
          <t>Functional</t>
        </is>
      </c>
      <c r="F213" s="28" t="inlineStr">
        <is>
          <t>Navigation - Sign Up Link Navigation</t>
        </is>
      </c>
      <c r="G213" s="28" t="inlineStr">
        <is>
          <t>SHAREBITE SPA router initialized</t>
        </is>
      </c>
      <c r="H213" s="28" t="inlineStr">
        <is>
          <t>1. Click 'Need an account? Sign up'. 2. Verify router state.</t>
        </is>
      </c>
      <c r="I213" s="28" t="inlineStr">
        <is>
          <t>Route transition</t>
        </is>
      </c>
      <c r="J213" s="28" t="inlineStr">
        <is>
          <t>Navigates to registration mode '/register'</t>
        </is>
      </c>
      <c r="K213" s="28" t="inlineStr">
        <is>
          <t>As expected</t>
        </is>
      </c>
      <c r="L213" s="25" t="inlineStr">
        <is>
          <t>Pass</t>
        </is>
      </c>
      <c r="M213" s="27" t="inlineStr">
        <is>
          <t>Automated</t>
        </is>
      </c>
    </row>
    <row r="214">
      <c r="A214" s="22" t="inlineStr">
        <is>
          <t>TC_LOG_213</t>
        </is>
      </c>
      <c r="B214" s="23" t="inlineStr">
        <is>
          <t>Authentication</t>
        </is>
      </c>
      <c r="C214" s="24" t="inlineStr">
        <is>
          <t>Navigation &amp; Route Transitions</t>
        </is>
      </c>
      <c r="D214" s="22" t="inlineStr">
        <is>
          <t>P1 - High</t>
        </is>
      </c>
      <c r="E214" s="23" t="inlineStr">
        <is>
          <t>Functional</t>
        </is>
      </c>
      <c r="F214" s="24" t="inlineStr">
        <is>
          <t>Navigation - Log In Link Navigation</t>
        </is>
      </c>
      <c r="G214" s="24" t="inlineStr">
        <is>
          <t>SHAREBITE SPA router initialized</t>
        </is>
      </c>
      <c r="H214" s="24" t="inlineStr">
        <is>
          <t>1. Click 'Already have an account? Log in' on register page. 2. Verify router state.</t>
        </is>
      </c>
      <c r="I214" s="24" t="inlineStr">
        <is>
          <t>Route transition</t>
        </is>
      </c>
      <c r="J214" s="24" t="inlineStr">
        <is>
          <t>Navigates back to '/login'</t>
        </is>
      </c>
      <c r="K214" s="24" t="inlineStr">
        <is>
          <t>As expected</t>
        </is>
      </c>
      <c r="L214" s="25" t="inlineStr">
        <is>
          <t>Pass</t>
        </is>
      </c>
      <c r="M214" s="23" t="inlineStr">
        <is>
          <t>Automated</t>
        </is>
      </c>
    </row>
    <row r="215">
      <c r="A215" s="26" t="inlineStr">
        <is>
          <t>TC_LOG_214</t>
        </is>
      </c>
      <c r="B215" s="27" t="inlineStr">
        <is>
          <t>Authentication</t>
        </is>
      </c>
      <c r="C215" s="28" t="inlineStr">
        <is>
          <t>Navigation &amp; Route Transitions</t>
        </is>
      </c>
      <c r="D215" s="26" t="inlineStr">
        <is>
          <t>P1 - High</t>
        </is>
      </c>
      <c r="E215" s="27" t="inlineStr">
        <is>
          <t>Functional</t>
        </is>
      </c>
      <c r="F215" s="28" t="inlineStr">
        <is>
          <t>Navigation - Browser Back Button from Sign Up</t>
        </is>
      </c>
      <c r="G215" s="28" t="inlineStr">
        <is>
          <t>SHAREBITE SPA router initialized</t>
        </is>
      </c>
      <c r="H215" s="28" t="inlineStr">
        <is>
          <t>1. Click Sign Up link then browser Back button. 2. Verify router state.</t>
        </is>
      </c>
      <c r="I215" s="28" t="inlineStr">
        <is>
          <t>Route transition</t>
        </is>
      </c>
      <c r="J215" s="28" t="inlineStr">
        <is>
          <t>Returns to Login page state</t>
        </is>
      </c>
      <c r="K215" s="28" t="inlineStr">
        <is>
          <t>As expected</t>
        </is>
      </c>
      <c r="L215" s="25" t="inlineStr">
        <is>
          <t>Pass</t>
        </is>
      </c>
      <c r="M215" s="27" t="inlineStr">
        <is>
          <t>Automated</t>
        </is>
      </c>
    </row>
    <row r="216">
      <c r="A216" s="22" t="inlineStr">
        <is>
          <t>TC_LOG_215</t>
        </is>
      </c>
      <c r="B216" s="23" t="inlineStr">
        <is>
          <t>Authentication</t>
        </is>
      </c>
      <c r="C216" s="24" t="inlineStr">
        <is>
          <t>Navigation &amp; Route Transitions</t>
        </is>
      </c>
      <c r="D216" s="22" t="inlineStr">
        <is>
          <t>P1 - High</t>
        </is>
      </c>
      <c r="E216" s="23" t="inlineStr">
        <is>
          <t>Functional</t>
        </is>
      </c>
      <c r="F216" s="24" t="inlineStr">
        <is>
          <t>Navigation - Browser Forward Button Navigation</t>
        </is>
      </c>
      <c r="G216" s="24" t="inlineStr">
        <is>
          <t>SHAREBITE SPA router initialized</t>
        </is>
      </c>
      <c r="H216" s="24" t="inlineStr">
        <is>
          <t>1. Click Back then Forward button in browser. 2. Verify router state.</t>
        </is>
      </c>
      <c r="I216" s="24" t="inlineStr">
        <is>
          <t>Route transition</t>
        </is>
      </c>
      <c r="J216" s="24" t="inlineStr">
        <is>
          <t>Advances back to Sign Up page</t>
        </is>
      </c>
      <c r="K216" s="24" t="inlineStr">
        <is>
          <t>As expected</t>
        </is>
      </c>
      <c r="L216" s="25" t="inlineStr">
        <is>
          <t>Pass</t>
        </is>
      </c>
      <c r="M216" s="23" t="inlineStr">
        <is>
          <t>Automated</t>
        </is>
      </c>
    </row>
    <row r="217">
      <c r="A217" s="26" t="inlineStr">
        <is>
          <t>TC_LOG_216</t>
        </is>
      </c>
      <c r="B217" s="27" t="inlineStr">
        <is>
          <t>Authentication</t>
        </is>
      </c>
      <c r="C217" s="28" t="inlineStr">
        <is>
          <t>Navigation &amp; Route Transitions</t>
        </is>
      </c>
      <c r="D217" s="26" t="inlineStr">
        <is>
          <t>P1 - High</t>
        </is>
      </c>
      <c r="E217" s="27" t="inlineStr">
        <is>
          <t>Functional</t>
        </is>
      </c>
      <c r="F217" s="28" t="inlineStr">
        <is>
          <t>Navigation - Direct Access to /login Route</t>
        </is>
      </c>
      <c r="G217" s="28" t="inlineStr">
        <is>
          <t>SHAREBITE SPA router initialized</t>
        </is>
      </c>
      <c r="H217" s="28" t="inlineStr">
        <is>
          <t>1. Enter http://localhost:5173/login directly in address bar. 2. Verify router state.</t>
        </is>
      </c>
      <c r="I217" s="28" t="inlineStr">
        <is>
          <t>Route transition</t>
        </is>
      </c>
      <c r="J217" s="28" t="inlineStr">
        <is>
          <t>Login page renders directly without error</t>
        </is>
      </c>
      <c r="K217" s="28" t="inlineStr">
        <is>
          <t>As expected</t>
        </is>
      </c>
      <c r="L217" s="25" t="inlineStr">
        <is>
          <t>Pass</t>
        </is>
      </c>
      <c r="M217" s="27" t="inlineStr">
        <is>
          <t>Automated</t>
        </is>
      </c>
    </row>
    <row r="218">
      <c r="A218" s="22" t="inlineStr">
        <is>
          <t>TC_LOG_217</t>
        </is>
      </c>
      <c r="B218" s="23" t="inlineStr">
        <is>
          <t>Authentication</t>
        </is>
      </c>
      <c r="C218" s="24" t="inlineStr">
        <is>
          <t>Navigation &amp; Route Transitions</t>
        </is>
      </c>
      <c r="D218" s="22" t="inlineStr">
        <is>
          <t>P1 - High</t>
        </is>
      </c>
      <c r="E218" s="23" t="inlineStr">
        <is>
          <t>Functional</t>
        </is>
      </c>
      <c r="F218" s="24" t="inlineStr">
        <is>
          <t>Navigation - Direct Access to /register Route</t>
        </is>
      </c>
      <c r="G218" s="24" t="inlineStr">
        <is>
          <t>SHAREBITE SPA router initialized</t>
        </is>
      </c>
      <c r="H218" s="24" t="inlineStr">
        <is>
          <t>1. Enter http://localhost:5173/register directly in address bar. 2. Verify router state.</t>
        </is>
      </c>
      <c r="I218" s="24" t="inlineStr">
        <is>
          <t>Route transition</t>
        </is>
      </c>
      <c r="J218" s="24" t="inlineStr">
        <is>
          <t>Register page renders directly with registration fields</t>
        </is>
      </c>
      <c r="K218" s="24" t="inlineStr">
        <is>
          <t>As expected</t>
        </is>
      </c>
      <c r="L218" s="25" t="inlineStr">
        <is>
          <t>Pass</t>
        </is>
      </c>
      <c r="M218" s="23" t="inlineStr">
        <is>
          <t>Automated</t>
        </is>
      </c>
    </row>
    <row r="219">
      <c r="A219" s="26" t="inlineStr">
        <is>
          <t>TC_LOG_218</t>
        </is>
      </c>
      <c r="B219" s="27" t="inlineStr">
        <is>
          <t>Authentication</t>
        </is>
      </c>
      <c r="C219" s="28" t="inlineStr">
        <is>
          <t>Navigation &amp; Route Transitions</t>
        </is>
      </c>
      <c r="D219" s="26" t="inlineStr">
        <is>
          <t>P1 - High</t>
        </is>
      </c>
      <c r="E219" s="27" t="inlineStr">
        <is>
          <t>Functional</t>
        </is>
      </c>
      <c r="F219" s="28" t="inlineStr">
        <is>
          <t>Navigation - Redirect Unknown Route /random to /login or Home</t>
        </is>
      </c>
      <c r="G219" s="28" t="inlineStr">
        <is>
          <t>SHAREBITE SPA router initialized</t>
        </is>
      </c>
      <c r="H219" s="28" t="inlineStr">
        <is>
          <t>1. Enter http://localhost:5173/invalid-path. 2. Verify router state.</t>
        </is>
      </c>
      <c r="I219" s="28" t="inlineStr">
        <is>
          <t>Route transition</t>
        </is>
      </c>
      <c r="J219" s="28" t="inlineStr">
        <is>
          <t>App redirects gracefully to Home or 404 page</t>
        </is>
      </c>
      <c r="K219" s="28" t="inlineStr">
        <is>
          <t>As expected</t>
        </is>
      </c>
      <c r="L219" s="25" t="inlineStr">
        <is>
          <t>Pass</t>
        </is>
      </c>
      <c r="M219" s="27" t="inlineStr">
        <is>
          <t>Automated</t>
        </is>
      </c>
    </row>
    <row r="220">
      <c r="A220" s="22" t="inlineStr">
        <is>
          <t>TC_LOG_219</t>
        </is>
      </c>
      <c r="B220" s="23" t="inlineStr">
        <is>
          <t>Authentication</t>
        </is>
      </c>
      <c r="C220" s="24" t="inlineStr">
        <is>
          <t>Navigation &amp; Route Transitions</t>
        </is>
      </c>
      <c r="D220" s="22" t="inlineStr">
        <is>
          <t>P1 - High</t>
        </is>
      </c>
      <c r="E220" s="23" t="inlineStr">
        <is>
          <t>Functional</t>
        </is>
      </c>
      <c r="F220" s="24" t="inlineStr">
        <is>
          <t>Navigation - Preserve Return URL Query Param</t>
        </is>
      </c>
      <c r="G220" s="24" t="inlineStr">
        <is>
          <t>SHAREBITE SPA router initialized</t>
        </is>
      </c>
      <c r="H220" s="24" t="inlineStr">
        <is>
          <t>1. Navigate to /login?redirect=/dashboard/items. 2. Verify router state.</t>
        </is>
      </c>
      <c r="I220" s="24" t="inlineStr">
        <is>
          <t>Route transition</t>
        </is>
      </c>
      <c r="J220" s="24" t="inlineStr">
        <is>
          <t>Post-login user redirected to target query path</t>
        </is>
      </c>
      <c r="K220" s="24" t="inlineStr">
        <is>
          <t>As expected</t>
        </is>
      </c>
      <c r="L220" s="25" t="inlineStr">
        <is>
          <t>Pass</t>
        </is>
      </c>
      <c r="M220" s="23" t="inlineStr">
        <is>
          <t>Automated</t>
        </is>
      </c>
    </row>
    <row r="221">
      <c r="A221" s="26" t="inlineStr">
        <is>
          <t>TC_LOG_220</t>
        </is>
      </c>
      <c r="B221" s="27" t="inlineStr">
        <is>
          <t>Authentication</t>
        </is>
      </c>
      <c r="C221" s="28" t="inlineStr">
        <is>
          <t>Navigation &amp; Route Transitions</t>
        </is>
      </c>
      <c r="D221" s="26" t="inlineStr">
        <is>
          <t>P1 - High</t>
        </is>
      </c>
      <c r="E221" s="27" t="inlineStr">
        <is>
          <t>Functional</t>
        </is>
      </c>
      <c r="F221" s="28" t="inlineStr">
        <is>
          <t>Navigation - Header Brand Logo Click</t>
        </is>
      </c>
      <c r="G221" s="28" t="inlineStr">
        <is>
          <t>SHAREBITE SPA router initialized</t>
        </is>
      </c>
      <c r="H221" s="28" t="inlineStr">
        <is>
          <t>1. Click SHAREBITE brand header logo. 2. Verify router state.</t>
        </is>
      </c>
      <c r="I221" s="28" t="inlineStr">
        <is>
          <t>Route transition</t>
        </is>
      </c>
      <c r="J221" s="28" t="inlineStr">
        <is>
          <t>Navigates to landing page '/'</t>
        </is>
      </c>
      <c r="K221" s="28" t="inlineStr">
        <is>
          <t>As expected</t>
        </is>
      </c>
      <c r="L221" s="25" t="inlineStr">
        <is>
          <t>Pass</t>
        </is>
      </c>
      <c r="M221" s="27" t="inlineStr">
        <is>
          <t>Automated</t>
        </is>
      </c>
    </row>
    <row r="222">
      <c r="A222" s="22" t="inlineStr">
        <is>
          <t>TC_LOG_221</t>
        </is>
      </c>
      <c r="B222" s="23" t="inlineStr">
        <is>
          <t>Authentication</t>
        </is>
      </c>
      <c r="C222" s="24" t="inlineStr">
        <is>
          <t>Navigation &amp; Route Transitions</t>
        </is>
      </c>
      <c r="D222" s="22" t="inlineStr">
        <is>
          <t>P1 - High</t>
        </is>
      </c>
      <c r="E222" s="23" t="inlineStr">
        <is>
          <t>Functional</t>
        </is>
      </c>
      <c r="F222" s="24" t="inlineStr">
        <is>
          <t>Navigation - Public Section Link Navigation</t>
        </is>
      </c>
      <c r="G222" s="24" t="inlineStr">
        <is>
          <t>SHAREBITE SPA router initialized</t>
        </is>
      </c>
      <c r="H222" s="24" t="inlineStr">
        <is>
          <t>1. Click 'Browse Public Food Shares' link. 2. Verify router state.</t>
        </is>
      </c>
      <c r="I222" s="24" t="inlineStr">
        <is>
          <t>Route transition</t>
        </is>
      </c>
      <c r="J222" s="24" t="inlineStr">
        <is>
          <t>Navigates to public section page '/public'</t>
        </is>
      </c>
      <c r="K222" s="24" t="inlineStr">
        <is>
          <t>As expected</t>
        </is>
      </c>
      <c r="L222" s="25" t="inlineStr">
        <is>
          <t>Pass</t>
        </is>
      </c>
      <c r="M222" s="23" t="inlineStr">
        <is>
          <t>Automated</t>
        </is>
      </c>
    </row>
    <row r="223">
      <c r="A223" s="26" t="inlineStr">
        <is>
          <t>TC_LOG_222</t>
        </is>
      </c>
      <c r="B223" s="27" t="inlineStr">
        <is>
          <t>Authentication</t>
        </is>
      </c>
      <c r="C223" s="28" t="inlineStr">
        <is>
          <t>Navigation &amp; Route Transitions</t>
        </is>
      </c>
      <c r="D223" s="26" t="inlineStr">
        <is>
          <t>P1 - High</t>
        </is>
      </c>
      <c r="E223" s="27" t="inlineStr">
        <is>
          <t>Functional</t>
        </is>
      </c>
      <c r="F223" s="28" t="inlineStr">
        <is>
          <t>Navigation - Footer Links Navigation</t>
        </is>
      </c>
      <c r="G223" s="28" t="inlineStr">
        <is>
          <t>SHAREBITE SPA router initialized</t>
        </is>
      </c>
      <c r="H223" s="28" t="inlineStr">
        <is>
          <t>1. Click privacy policy link in footer. 2. Verify router state.</t>
        </is>
      </c>
      <c r="I223" s="28" t="inlineStr">
        <is>
          <t>Route transition</t>
        </is>
      </c>
      <c r="J223" s="28" t="inlineStr">
        <is>
          <t>Opens privacy policy page/modal</t>
        </is>
      </c>
      <c r="K223" s="28" t="inlineStr">
        <is>
          <t>As expected</t>
        </is>
      </c>
      <c r="L223" s="25" t="inlineStr">
        <is>
          <t>Pass</t>
        </is>
      </c>
      <c r="M223" s="27" t="inlineStr">
        <is>
          <t>Automated</t>
        </is>
      </c>
    </row>
    <row r="224">
      <c r="A224" s="22" t="inlineStr">
        <is>
          <t>TC_LOG_223</t>
        </is>
      </c>
      <c r="B224" s="23" t="inlineStr">
        <is>
          <t>Authentication</t>
        </is>
      </c>
      <c r="C224" s="24" t="inlineStr">
        <is>
          <t>Navigation &amp; Route Transitions</t>
        </is>
      </c>
      <c r="D224" s="22" t="inlineStr">
        <is>
          <t>P1 - High</t>
        </is>
      </c>
      <c r="E224" s="23" t="inlineStr">
        <is>
          <t>Functional</t>
        </is>
      </c>
      <c r="F224" s="24" t="inlineStr">
        <is>
          <t>Navigation - Terms of Service Link Navigation</t>
        </is>
      </c>
      <c r="G224" s="24" t="inlineStr">
        <is>
          <t>SHAREBITE SPA router initialized</t>
        </is>
      </c>
      <c r="H224" s="24" t="inlineStr">
        <is>
          <t>1. Click Terms of service link in footer. 2. Verify router state.</t>
        </is>
      </c>
      <c r="I224" s="24" t="inlineStr">
        <is>
          <t>Route transition</t>
        </is>
      </c>
      <c r="J224" s="24" t="inlineStr">
        <is>
          <t>Opens terms of service page/modal</t>
        </is>
      </c>
      <c r="K224" s="24" t="inlineStr">
        <is>
          <t>As expected</t>
        </is>
      </c>
      <c r="L224" s="25" t="inlineStr">
        <is>
          <t>Pass</t>
        </is>
      </c>
      <c r="M224" s="23" t="inlineStr">
        <is>
          <t>Automated</t>
        </is>
      </c>
    </row>
    <row r="225">
      <c r="A225" s="26" t="inlineStr">
        <is>
          <t>TC_LOG_224</t>
        </is>
      </c>
      <c r="B225" s="27" t="inlineStr">
        <is>
          <t>Authentication</t>
        </is>
      </c>
      <c r="C225" s="28" t="inlineStr">
        <is>
          <t>Navigation &amp; Route Transitions</t>
        </is>
      </c>
      <c r="D225" s="26" t="inlineStr">
        <is>
          <t>P1 - High</t>
        </is>
      </c>
      <c r="E225" s="27" t="inlineStr">
        <is>
          <t>Functional</t>
        </is>
      </c>
      <c r="F225" s="28" t="inlineStr">
        <is>
          <t>Navigation - Contact Support Link Navigation</t>
        </is>
      </c>
      <c r="G225" s="28" t="inlineStr">
        <is>
          <t>SHAREBITE SPA router initialized</t>
        </is>
      </c>
      <c r="H225" s="28" t="inlineStr">
        <is>
          <t>1. Click Support link. 2. Verify router state.</t>
        </is>
      </c>
      <c r="I225" s="28" t="inlineStr">
        <is>
          <t>Route transition</t>
        </is>
      </c>
      <c r="J225" s="28" t="inlineStr">
        <is>
          <t>Opens support drawer or mailto link</t>
        </is>
      </c>
      <c r="K225" s="28" t="inlineStr">
        <is>
          <t>As expected</t>
        </is>
      </c>
      <c r="L225" s="25" t="inlineStr">
        <is>
          <t>Pass</t>
        </is>
      </c>
      <c r="M225" s="27" t="inlineStr">
        <is>
          <t>Automated</t>
        </is>
      </c>
    </row>
    <row r="226">
      <c r="A226" s="22" t="inlineStr">
        <is>
          <t>TC_LOG_225</t>
        </is>
      </c>
      <c r="B226" s="23" t="inlineStr">
        <is>
          <t>Authentication</t>
        </is>
      </c>
      <c r="C226" s="24" t="inlineStr">
        <is>
          <t>Navigation &amp; Route Transitions</t>
        </is>
      </c>
      <c r="D226" s="22" t="inlineStr">
        <is>
          <t>P1 - High</t>
        </is>
      </c>
      <c r="E226" s="23" t="inlineStr">
        <is>
          <t>Functional</t>
        </is>
      </c>
      <c r="F226" s="24" t="inlineStr">
        <is>
          <t>Navigation - External Links Target Attribute</t>
        </is>
      </c>
      <c r="G226" s="24" t="inlineStr">
        <is>
          <t>SHAREBITE SPA router initialized</t>
        </is>
      </c>
      <c r="H226" s="24" t="inlineStr">
        <is>
          <t>1. Inspect external links in footer/nav. 2. Verify router state.</t>
        </is>
      </c>
      <c r="I226" s="24" t="inlineStr">
        <is>
          <t>Route transition</t>
        </is>
      </c>
      <c r="J226" s="24" t="inlineStr">
        <is>
          <t>External links have target='_blank' rel='noopener noreferrer'</t>
        </is>
      </c>
      <c r="K226" s="24" t="inlineStr">
        <is>
          <t>As expected</t>
        </is>
      </c>
      <c r="L226" s="25" t="inlineStr">
        <is>
          <t>Pass</t>
        </is>
      </c>
      <c r="M226" s="23" t="inlineStr">
        <is>
          <t>Automated</t>
        </is>
      </c>
    </row>
    <row r="227">
      <c r="A227" s="26" t="inlineStr">
        <is>
          <t>TC_LOG_226</t>
        </is>
      </c>
      <c r="B227" s="27" t="inlineStr">
        <is>
          <t>Authentication</t>
        </is>
      </c>
      <c r="C227" s="28" t="inlineStr">
        <is>
          <t>Navigation &amp; Route Transitions</t>
        </is>
      </c>
      <c r="D227" s="26" t="inlineStr">
        <is>
          <t>P2 - Medium</t>
        </is>
      </c>
      <c r="E227" s="27" t="inlineStr">
        <is>
          <t>Functional</t>
        </is>
      </c>
      <c r="F227" s="28" t="inlineStr">
        <is>
          <t>Navigation - Session Storage Route History</t>
        </is>
      </c>
      <c r="G227" s="28" t="inlineStr">
        <is>
          <t>SHAREBITE SPA router initialized</t>
        </is>
      </c>
      <c r="H227" s="28" t="inlineStr">
        <is>
          <t>1. Check window.history stack length. 2. Verify router state.</t>
        </is>
      </c>
      <c r="I227" s="28" t="inlineStr">
        <is>
          <t>Route transition</t>
        </is>
      </c>
      <c r="J227" s="28" t="inlineStr">
        <is>
          <t>History stack updates correctly on client-side routing</t>
        </is>
      </c>
      <c r="K227" s="28" t="inlineStr">
        <is>
          <t>As expected</t>
        </is>
      </c>
      <c r="L227" s="25" t="inlineStr">
        <is>
          <t>Pass</t>
        </is>
      </c>
      <c r="M227" s="27" t="inlineStr">
        <is>
          <t>Automated</t>
        </is>
      </c>
    </row>
    <row r="228">
      <c r="A228" s="22" t="inlineStr">
        <is>
          <t>TC_LOG_227</t>
        </is>
      </c>
      <c r="B228" s="23" t="inlineStr">
        <is>
          <t>Authentication</t>
        </is>
      </c>
      <c r="C228" s="24" t="inlineStr">
        <is>
          <t>Navigation &amp; Route Transitions</t>
        </is>
      </c>
      <c r="D228" s="22" t="inlineStr">
        <is>
          <t>P2 - Medium</t>
        </is>
      </c>
      <c r="E228" s="23" t="inlineStr">
        <is>
          <t>Functional</t>
        </is>
      </c>
      <c r="F228" s="24" t="inlineStr">
        <is>
          <t>Navigation - Smooth Route Transition Animation</t>
        </is>
      </c>
      <c r="G228" s="24" t="inlineStr">
        <is>
          <t>SHAREBITE SPA router initialized</t>
        </is>
      </c>
      <c r="H228" s="24" t="inlineStr">
        <is>
          <t>1. Switch between Login and Sign Up. 2. Verify router state.</t>
        </is>
      </c>
      <c r="I228" s="24" t="inlineStr">
        <is>
          <t>Route transition</t>
        </is>
      </c>
      <c r="J228" s="24" t="inlineStr">
        <is>
          <t>Smooth fade/slide transition without screen flicker</t>
        </is>
      </c>
      <c r="K228" s="24" t="inlineStr">
        <is>
          <t>As expected</t>
        </is>
      </c>
      <c r="L228" s="25" t="inlineStr">
        <is>
          <t>Pass</t>
        </is>
      </c>
      <c r="M228" s="23" t="inlineStr">
        <is>
          <t>Automated</t>
        </is>
      </c>
    </row>
    <row r="229">
      <c r="A229" s="26" t="inlineStr">
        <is>
          <t>TC_LOG_228</t>
        </is>
      </c>
      <c r="B229" s="27" t="inlineStr">
        <is>
          <t>Authentication</t>
        </is>
      </c>
      <c r="C229" s="28" t="inlineStr">
        <is>
          <t>Navigation &amp; Route Transitions</t>
        </is>
      </c>
      <c r="D229" s="26" t="inlineStr">
        <is>
          <t>P2 - Medium</t>
        </is>
      </c>
      <c r="E229" s="27" t="inlineStr">
        <is>
          <t>Functional</t>
        </is>
      </c>
      <c r="F229" s="28" t="inlineStr">
        <is>
          <t>Navigation - No Page Reload on Client Route Switch</t>
        </is>
      </c>
      <c r="G229" s="28" t="inlineStr">
        <is>
          <t>SHAREBITE SPA router initialized</t>
        </is>
      </c>
      <c r="H229" s="28" t="inlineStr">
        <is>
          <t>1. Click Sign Up link while inspecting Network tab. 2. Verify router state.</t>
        </is>
      </c>
      <c r="I229" s="28" t="inlineStr">
        <is>
          <t>Route transition</t>
        </is>
      </c>
      <c r="J229" s="28" t="inlineStr">
        <is>
          <t>Client SPA route transition occurs without full page document reload</t>
        </is>
      </c>
      <c r="K229" s="28" t="inlineStr">
        <is>
          <t>As expected</t>
        </is>
      </c>
      <c r="L229" s="25" t="inlineStr">
        <is>
          <t>Pass</t>
        </is>
      </c>
      <c r="M229" s="27" t="inlineStr">
        <is>
          <t>Automated</t>
        </is>
      </c>
    </row>
    <row r="230">
      <c r="A230" s="22" t="inlineStr">
        <is>
          <t>TC_LOG_229</t>
        </is>
      </c>
      <c r="B230" s="23" t="inlineStr">
        <is>
          <t>Authentication</t>
        </is>
      </c>
      <c r="C230" s="24" t="inlineStr">
        <is>
          <t>Navigation &amp; Route Transitions</t>
        </is>
      </c>
      <c r="D230" s="22" t="inlineStr">
        <is>
          <t>P2 - Medium</t>
        </is>
      </c>
      <c r="E230" s="23" t="inlineStr">
        <is>
          <t>Functional</t>
        </is>
      </c>
      <c r="F230" s="24" t="inlineStr">
        <is>
          <t>Navigation - Anchor Hash Fragment Navigation</t>
        </is>
      </c>
      <c r="G230" s="24" t="inlineStr">
        <is>
          <t>SHAREBITE SPA router initialized</t>
        </is>
      </c>
      <c r="H230" s="24" t="inlineStr">
        <is>
          <t>1. Navigate to /login#faq. 2. Verify router state.</t>
        </is>
      </c>
      <c r="I230" s="24" t="inlineStr">
        <is>
          <t>Route transition</t>
        </is>
      </c>
      <c r="J230" s="24" t="inlineStr">
        <is>
          <t>Page scrolls to hash target element</t>
        </is>
      </c>
      <c r="K230" s="24" t="inlineStr">
        <is>
          <t>As expected</t>
        </is>
      </c>
      <c r="L230" s="25" t="inlineStr">
        <is>
          <t>Pass</t>
        </is>
      </c>
      <c r="M230" s="23" t="inlineStr">
        <is>
          <t>Manual</t>
        </is>
      </c>
    </row>
    <row r="231">
      <c r="A231" s="26" t="inlineStr">
        <is>
          <t>TC_LOG_230</t>
        </is>
      </c>
      <c r="B231" s="27" t="inlineStr">
        <is>
          <t>Authentication</t>
        </is>
      </c>
      <c r="C231" s="28" t="inlineStr">
        <is>
          <t>Navigation &amp; Route Transitions</t>
        </is>
      </c>
      <c r="D231" s="26" t="inlineStr">
        <is>
          <t>P2 - Medium</t>
        </is>
      </c>
      <c r="E231" s="27" t="inlineStr">
        <is>
          <t>Functional</t>
        </is>
      </c>
      <c r="F231" s="28" t="inlineStr">
        <is>
          <t>Navigation - Unsaved Form Navigation Warning</t>
        </is>
      </c>
      <c r="G231" s="28" t="inlineStr">
        <is>
          <t>SHAREBITE SPA router initialized</t>
        </is>
      </c>
      <c r="H231" s="28" t="inlineStr">
        <is>
          <t>1. Fill form data and click Home button. 2. Verify router state.</t>
        </is>
      </c>
      <c r="I231" s="28" t="inlineStr">
        <is>
          <t>Route transition</t>
        </is>
      </c>
      <c r="J231" s="28" t="inlineStr">
        <is>
          <t>Prompt user if unsaved changes risk data loss (or navigate directly if ephemeral)</t>
        </is>
      </c>
      <c r="K231" s="28" t="inlineStr">
        <is>
          <t>As expected</t>
        </is>
      </c>
      <c r="L231" s="25" t="inlineStr">
        <is>
          <t>Pass</t>
        </is>
      </c>
      <c r="M231" s="27" t="inlineStr">
        <is>
          <t>Manual</t>
        </is>
      </c>
    </row>
    <row r="232">
      <c r="A232" s="22" t="inlineStr">
        <is>
          <t>TC_LOG_231</t>
        </is>
      </c>
      <c r="B232" s="23" t="inlineStr">
        <is>
          <t>Authentication</t>
        </is>
      </c>
      <c r="C232" s="24" t="inlineStr">
        <is>
          <t>Navigation &amp; Route Transitions</t>
        </is>
      </c>
      <c r="D232" s="22" t="inlineStr">
        <is>
          <t>P2 - Medium</t>
        </is>
      </c>
      <c r="E232" s="23" t="inlineStr">
        <is>
          <t>Functional</t>
        </is>
      </c>
      <c r="F232" s="24" t="inlineStr">
        <is>
          <t>Navigation - Browser Reload on Login Page</t>
        </is>
      </c>
      <c r="G232" s="24" t="inlineStr">
        <is>
          <t>SHAREBITE SPA router initialized</t>
        </is>
      </c>
      <c r="H232" s="24" t="inlineStr">
        <is>
          <t>1. Press F5 / Cmd+R on login page. 2. Verify router state.</t>
        </is>
      </c>
      <c r="I232" s="24" t="inlineStr">
        <is>
          <t>Route transition</t>
        </is>
      </c>
      <c r="J232" s="24" t="inlineStr">
        <is>
          <t>Page reloads cleanly staying on /login</t>
        </is>
      </c>
      <c r="K232" s="24" t="inlineStr">
        <is>
          <t>As expected</t>
        </is>
      </c>
      <c r="L232" s="25" t="inlineStr">
        <is>
          <t>Pass</t>
        </is>
      </c>
      <c r="M232" s="23" t="inlineStr">
        <is>
          <t>Manual</t>
        </is>
      </c>
    </row>
    <row r="233">
      <c r="A233" s="26" t="inlineStr">
        <is>
          <t>TC_LOG_232</t>
        </is>
      </c>
      <c r="B233" s="27" t="inlineStr">
        <is>
          <t>Authentication</t>
        </is>
      </c>
      <c r="C233" s="28" t="inlineStr">
        <is>
          <t>Navigation &amp; Route Transitions</t>
        </is>
      </c>
      <c r="D233" s="26" t="inlineStr">
        <is>
          <t>P2 - Medium</t>
        </is>
      </c>
      <c r="E233" s="27" t="inlineStr">
        <is>
          <t>Functional</t>
        </is>
      </c>
      <c r="F233" s="28" t="inlineStr">
        <is>
          <t>Navigation - Tab Key Focus Retention After Navigation</t>
        </is>
      </c>
      <c r="G233" s="28" t="inlineStr">
        <is>
          <t>SHAREBITE SPA router initialized</t>
        </is>
      </c>
      <c r="H233" s="28" t="inlineStr">
        <is>
          <t>1. Navigate to Sign Up and press Tab. 2. Verify router state.</t>
        </is>
      </c>
      <c r="I233" s="28" t="inlineStr">
        <is>
          <t>Route transition</t>
        </is>
      </c>
      <c r="J233" s="28" t="inlineStr">
        <is>
          <t>Focus set predictably to first interactive element</t>
        </is>
      </c>
      <c r="K233" s="28" t="inlineStr">
        <is>
          <t>As expected</t>
        </is>
      </c>
      <c r="L233" s="25" t="inlineStr">
        <is>
          <t>Pass</t>
        </is>
      </c>
      <c r="M233" s="27" t="inlineStr">
        <is>
          <t>Manual</t>
        </is>
      </c>
    </row>
    <row r="234">
      <c r="A234" s="22" t="inlineStr">
        <is>
          <t>TC_LOG_233</t>
        </is>
      </c>
      <c r="B234" s="23" t="inlineStr">
        <is>
          <t>Authentication</t>
        </is>
      </c>
      <c r="C234" s="24" t="inlineStr">
        <is>
          <t>Navigation &amp; Route Transitions</t>
        </is>
      </c>
      <c r="D234" s="22" t="inlineStr">
        <is>
          <t>P2 - Medium</t>
        </is>
      </c>
      <c r="E234" s="23" t="inlineStr">
        <is>
          <t>Functional</t>
        </is>
      </c>
      <c r="F234" s="24" t="inlineStr">
        <is>
          <t>Navigation - Active Nav Link Highlight</t>
        </is>
      </c>
      <c r="G234" s="24" t="inlineStr">
        <is>
          <t>SHAREBITE SPA router initialized</t>
        </is>
      </c>
      <c r="H234" s="24" t="inlineStr">
        <is>
          <t>1. Inspect active navigation link styling. 2. Verify router state.</t>
        </is>
      </c>
      <c r="I234" s="24" t="inlineStr">
        <is>
          <t>Route transition</t>
        </is>
      </c>
      <c r="J234" s="24" t="inlineStr">
        <is>
          <t>Active route link highlighted visually</t>
        </is>
      </c>
      <c r="K234" s="24" t="inlineStr">
        <is>
          <t>As expected</t>
        </is>
      </c>
      <c r="L234" s="25" t="inlineStr">
        <is>
          <t>Pass</t>
        </is>
      </c>
      <c r="M234" s="23" t="inlineStr">
        <is>
          <t>Manual</t>
        </is>
      </c>
    </row>
    <row r="235">
      <c r="A235" s="26" t="inlineStr">
        <is>
          <t>TC_LOG_234</t>
        </is>
      </c>
      <c r="B235" s="27" t="inlineStr">
        <is>
          <t>Authentication</t>
        </is>
      </c>
      <c r="C235" s="28" t="inlineStr">
        <is>
          <t>Navigation &amp; Route Transitions</t>
        </is>
      </c>
      <c r="D235" s="26" t="inlineStr">
        <is>
          <t>P2 - Medium</t>
        </is>
      </c>
      <c r="E235" s="27" t="inlineStr">
        <is>
          <t>Functional</t>
        </is>
      </c>
      <c r="F235" s="28" t="inlineStr">
        <is>
          <t>Navigation - Fast Route Clicking Safety</t>
        </is>
      </c>
      <c r="G235" s="28" t="inlineStr">
        <is>
          <t>SHAREBITE SPA router initialized</t>
        </is>
      </c>
      <c r="H235" s="28" t="inlineStr">
        <is>
          <t>1. Click navigation links 5 times rapidly. 2. Verify router state.</t>
        </is>
      </c>
      <c r="I235" s="28" t="inlineStr">
        <is>
          <t>Route transition</t>
        </is>
      </c>
      <c r="J235" s="28" t="inlineStr">
        <is>
          <t>App router stays stable without breaking state</t>
        </is>
      </c>
      <c r="K235" s="28" t="inlineStr">
        <is>
          <t>As expected</t>
        </is>
      </c>
      <c r="L235" s="25" t="inlineStr">
        <is>
          <t>Pass</t>
        </is>
      </c>
      <c r="M235" s="27" t="inlineStr">
        <is>
          <t>Manual</t>
        </is>
      </c>
    </row>
    <row r="236">
      <c r="A236" s="22" t="inlineStr">
        <is>
          <t>TC_LOG_235</t>
        </is>
      </c>
      <c r="B236" s="23" t="inlineStr">
        <is>
          <t>Authentication</t>
        </is>
      </c>
      <c r="C236" s="24" t="inlineStr">
        <is>
          <t>Navigation &amp; Route Transitions</t>
        </is>
      </c>
      <c r="D236" s="22" t="inlineStr">
        <is>
          <t>P2 - Medium</t>
        </is>
      </c>
      <c r="E236" s="23" t="inlineStr">
        <is>
          <t>Functional</t>
        </is>
      </c>
      <c r="F236" s="24" t="inlineStr">
        <is>
          <t>Navigation - Mobile Back Gesture Support</t>
        </is>
      </c>
      <c r="G236" s="24" t="inlineStr">
        <is>
          <t>SHAREBITE SPA router initialized</t>
        </is>
      </c>
      <c r="H236" s="24" t="inlineStr">
        <is>
          <t>1. Swipe right back gesture on iOS Safari. 2. Verify router state.</t>
        </is>
      </c>
      <c r="I236" s="24" t="inlineStr">
        <is>
          <t>Route transition</t>
        </is>
      </c>
      <c r="J236" s="24" t="inlineStr">
        <is>
          <t>Navigates back to previous route cleanly</t>
        </is>
      </c>
      <c r="K236" s="24" t="inlineStr">
        <is>
          <t>As expected</t>
        </is>
      </c>
      <c r="L236" s="25" t="inlineStr">
        <is>
          <t>Pass</t>
        </is>
      </c>
      <c r="M236" s="23" t="inlineStr">
        <is>
          <t>Manual</t>
        </is>
      </c>
    </row>
    <row r="237">
      <c r="A237" s="26" t="inlineStr">
        <is>
          <t>TC_LOG_236</t>
        </is>
      </c>
      <c r="B237" s="27" t="inlineStr">
        <is>
          <t>Authentication</t>
        </is>
      </c>
      <c r="C237" s="28" t="inlineStr">
        <is>
          <t>Keyboard Navigation &amp; Accessibility</t>
        </is>
      </c>
      <c r="D237" s="26" t="inlineStr">
        <is>
          <t>P1 - High</t>
        </is>
      </c>
      <c r="E237" s="27" t="inlineStr">
        <is>
          <t>Accessibility</t>
        </is>
      </c>
      <c r="F237" s="28" t="inlineStr">
        <is>
          <t>A11y - Form Sequential Tab Order</t>
        </is>
      </c>
      <c r="G237" s="28" t="inlineStr">
        <is>
          <t>Login page loaded in browser</t>
        </is>
      </c>
      <c r="H237" s="28" t="inlineStr">
        <is>
          <t>1. Press Tab key from top of page. 2. Verify accessibility compliance.</t>
        </is>
      </c>
      <c r="I237" s="28" t="inlineStr">
        <is>
          <t>Keyboard / Screen Reader input</t>
        </is>
      </c>
      <c r="J237" s="28" t="inlineStr">
        <is>
          <t>Focus order: Home Button -&gt; Donor Toggle -&gt; Receiver Toggle -&gt; Name (if reg) -&gt; Email -&gt; Password -&gt; Location (if reg) -&gt; Submit -&gt; Mode Switch</t>
        </is>
      </c>
      <c r="K237" s="28" t="inlineStr">
        <is>
          <t>As expected</t>
        </is>
      </c>
      <c r="L237" s="25" t="inlineStr">
        <is>
          <t>Pass</t>
        </is>
      </c>
      <c r="M237" s="27" t="inlineStr">
        <is>
          <t>Automated</t>
        </is>
      </c>
    </row>
    <row r="238">
      <c r="A238" s="22" t="inlineStr">
        <is>
          <t>TC_LOG_237</t>
        </is>
      </c>
      <c r="B238" s="23" t="inlineStr">
        <is>
          <t>Authentication</t>
        </is>
      </c>
      <c r="C238" s="24" t="inlineStr">
        <is>
          <t>Keyboard Navigation &amp; Accessibility</t>
        </is>
      </c>
      <c r="D238" s="22" t="inlineStr">
        <is>
          <t>P1 - High</t>
        </is>
      </c>
      <c r="E238" s="23" t="inlineStr">
        <is>
          <t>Accessibility</t>
        </is>
      </c>
      <c r="F238" s="24" t="inlineStr">
        <is>
          <t>A11y - Enter Key Form Submission</t>
        </is>
      </c>
      <c r="G238" s="24" t="inlineStr">
        <is>
          <t>Login page loaded in browser</t>
        </is>
      </c>
      <c r="H238" s="24" t="inlineStr">
        <is>
          <t>1. Press Enter inside Email or Password field. 2. Verify accessibility compliance.</t>
        </is>
      </c>
      <c r="I238" s="24" t="inlineStr">
        <is>
          <t>Keyboard / Screen Reader input</t>
        </is>
      </c>
      <c r="J238" s="24" t="inlineStr">
        <is>
          <t>Form submits without needing mouse click</t>
        </is>
      </c>
      <c r="K238" s="24" t="inlineStr">
        <is>
          <t>As expected</t>
        </is>
      </c>
      <c r="L238" s="25" t="inlineStr">
        <is>
          <t>Pass</t>
        </is>
      </c>
      <c r="M238" s="23" t="inlineStr">
        <is>
          <t>Automated</t>
        </is>
      </c>
    </row>
    <row r="239">
      <c r="A239" s="26" t="inlineStr">
        <is>
          <t>TC_LOG_238</t>
        </is>
      </c>
      <c r="B239" s="27" t="inlineStr">
        <is>
          <t>Authentication</t>
        </is>
      </c>
      <c r="C239" s="28" t="inlineStr">
        <is>
          <t>Keyboard Navigation &amp; Accessibility</t>
        </is>
      </c>
      <c r="D239" s="26" t="inlineStr">
        <is>
          <t>P1 - High</t>
        </is>
      </c>
      <c r="E239" s="27" t="inlineStr">
        <is>
          <t>Accessibility</t>
        </is>
      </c>
      <c r="F239" s="28" t="inlineStr">
        <is>
          <t>A11y - Spacebar Toggle Role Buttons</t>
        </is>
      </c>
      <c r="G239" s="28" t="inlineStr">
        <is>
          <t>Login page loaded in browser</t>
        </is>
      </c>
      <c r="H239" s="28" t="inlineStr">
        <is>
          <t>1. Focus Donor/Receiver button and press Spacebar. 2. Verify accessibility compliance.</t>
        </is>
      </c>
      <c r="I239" s="28" t="inlineStr">
        <is>
          <t>Keyboard / Screen Reader input</t>
        </is>
      </c>
      <c r="J239" s="28" t="inlineStr">
        <is>
          <t>Selects the focused role button</t>
        </is>
      </c>
      <c r="K239" s="28" t="inlineStr">
        <is>
          <t>As expected</t>
        </is>
      </c>
      <c r="L239" s="25" t="inlineStr">
        <is>
          <t>Pass</t>
        </is>
      </c>
      <c r="M239" s="27" t="inlineStr">
        <is>
          <t>Automated</t>
        </is>
      </c>
    </row>
    <row r="240">
      <c r="A240" s="22" t="inlineStr">
        <is>
          <t>TC_LOG_239</t>
        </is>
      </c>
      <c r="B240" s="23" t="inlineStr">
        <is>
          <t>Authentication</t>
        </is>
      </c>
      <c r="C240" s="24" t="inlineStr">
        <is>
          <t>Keyboard Navigation &amp; Accessibility</t>
        </is>
      </c>
      <c r="D240" s="22" t="inlineStr">
        <is>
          <t>P1 - High</t>
        </is>
      </c>
      <c r="E240" s="23" t="inlineStr">
        <is>
          <t>Accessibility</t>
        </is>
      </c>
      <c r="F240" s="24" t="inlineStr">
        <is>
          <t>A11y - Focus Indicator Visible Styling</t>
        </is>
      </c>
      <c r="G240" s="24" t="inlineStr">
        <is>
          <t>Login page loaded in browser</t>
        </is>
      </c>
      <c r="H240" s="24" t="inlineStr">
        <is>
          <t>1. Tab through all form controls. 2. Verify accessibility compliance.</t>
        </is>
      </c>
      <c r="I240" s="24" t="inlineStr">
        <is>
          <t>Keyboard / Screen Reader input</t>
        </is>
      </c>
      <c r="J240" s="24" t="inlineStr">
        <is>
          <t>Distinct visible focus ring around active element</t>
        </is>
      </c>
      <c r="K240" s="24" t="inlineStr">
        <is>
          <t>As expected</t>
        </is>
      </c>
      <c r="L240" s="25" t="inlineStr">
        <is>
          <t>Pass</t>
        </is>
      </c>
      <c r="M240" s="23" t="inlineStr">
        <is>
          <t>Automated</t>
        </is>
      </c>
    </row>
    <row r="241">
      <c r="A241" s="26" t="inlineStr">
        <is>
          <t>TC_LOG_240</t>
        </is>
      </c>
      <c r="B241" s="27" t="inlineStr">
        <is>
          <t>Authentication</t>
        </is>
      </c>
      <c r="C241" s="28" t="inlineStr">
        <is>
          <t>Keyboard Navigation &amp; Accessibility</t>
        </is>
      </c>
      <c r="D241" s="26" t="inlineStr">
        <is>
          <t>P1 - High</t>
        </is>
      </c>
      <c r="E241" s="27" t="inlineStr">
        <is>
          <t>Accessibility</t>
        </is>
      </c>
      <c r="F241" s="28" t="inlineStr">
        <is>
          <t>A11y - HTML5 Required Attribute Accessibility</t>
        </is>
      </c>
      <c r="G241" s="28" t="inlineStr">
        <is>
          <t>Login page loaded in browser</t>
        </is>
      </c>
      <c r="H241" s="28" t="inlineStr">
        <is>
          <t>1. Inspect Email and Password inputs. 2. Verify accessibility compliance.</t>
        </is>
      </c>
      <c r="I241" s="28" t="inlineStr">
        <is>
          <t>Keyboard / Screen Reader input</t>
        </is>
      </c>
      <c r="J241" s="28" t="inlineStr">
        <is>
          <t>required attribute present for browser native validation</t>
        </is>
      </c>
      <c r="K241" s="28" t="inlineStr">
        <is>
          <t>As expected</t>
        </is>
      </c>
      <c r="L241" s="25" t="inlineStr">
        <is>
          <t>Pass</t>
        </is>
      </c>
      <c r="M241" s="27" t="inlineStr">
        <is>
          <t>Automated</t>
        </is>
      </c>
    </row>
    <row r="242">
      <c r="A242" s="22" t="inlineStr">
        <is>
          <t>TC_LOG_241</t>
        </is>
      </c>
      <c r="B242" s="23" t="inlineStr">
        <is>
          <t>Authentication</t>
        </is>
      </c>
      <c r="C242" s="24" t="inlineStr">
        <is>
          <t>Keyboard Navigation &amp; Accessibility</t>
        </is>
      </c>
      <c r="D242" s="22" t="inlineStr">
        <is>
          <t>P1 - High</t>
        </is>
      </c>
      <c r="E242" s="23" t="inlineStr">
        <is>
          <t>Accessibility</t>
        </is>
      </c>
      <c r="F242" s="24" t="inlineStr">
        <is>
          <t>A11y - Input Label / Placeholder Association</t>
        </is>
      </c>
      <c r="G242" s="24" t="inlineStr">
        <is>
          <t>Login page loaded in browser</t>
        </is>
      </c>
      <c r="H242" s="24" t="inlineStr">
        <is>
          <t>1. Inspect field accessibility labels. 2. Verify accessibility compliance.</t>
        </is>
      </c>
      <c r="I242" s="24" t="inlineStr">
        <is>
          <t>Keyboard / Screen Reader input</t>
        </is>
      </c>
      <c r="J242" s="24" t="inlineStr">
        <is>
          <t>Inputs have explicit placeholder and implicit/explicit aria-label</t>
        </is>
      </c>
      <c r="K242" s="24" t="inlineStr">
        <is>
          <t>As expected</t>
        </is>
      </c>
      <c r="L242" s="25" t="inlineStr">
        <is>
          <t>Pass</t>
        </is>
      </c>
      <c r="M242" s="23" t="inlineStr">
        <is>
          <t>Automated</t>
        </is>
      </c>
    </row>
    <row r="243">
      <c r="A243" s="26" t="inlineStr">
        <is>
          <t>TC_LOG_242</t>
        </is>
      </c>
      <c r="B243" s="27" t="inlineStr">
        <is>
          <t>Authentication</t>
        </is>
      </c>
      <c r="C243" s="28" t="inlineStr">
        <is>
          <t>Keyboard Navigation &amp; Accessibility</t>
        </is>
      </c>
      <c r="D243" s="26" t="inlineStr">
        <is>
          <t>P1 - High</t>
        </is>
      </c>
      <c r="E243" s="27" t="inlineStr">
        <is>
          <t>Accessibility</t>
        </is>
      </c>
      <c r="F243" s="28" t="inlineStr">
        <is>
          <t>A11y - Screen Reader Heading Structure</t>
        </is>
      </c>
      <c r="G243" s="28" t="inlineStr">
        <is>
          <t>Login page loaded in browser</t>
        </is>
      </c>
      <c r="H243" s="28" t="inlineStr">
        <is>
          <t>1. Inspect heading levels on login page. 2. Verify accessibility compliance.</t>
        </is>
      </c>
      <c r="I243" s="28" t="inlineStr">
        <is>
          <t>Keyboard / Screen Reader input</t>
        </is>
      </c>
      <c r="J243" s="28" t="inlineStr">
        <is>
          <t>Single &lt;h1&gt; tag used for page main heading</t>
        </is>
      </c>
      <c r="K243" s="28" t="inlineStr">
        <is>
          <t>As expected</t>
        </is>
      </c>
      <c r="L243" s="25" t="inlineStr">
        <is>
          <t>Pass</t>
        </is>
      </c>
      <c r="M243" s="27" t="inlineStr">
        <is>
          <t>Automated</t>
        </is>
      </c>
    </row>
    <row r="244">
      <c r="A244" s="22" t="inlineStr">
        <is>
          <t>TC_LOG_243</t>
        </is>
      </c>
      <c r="B244" s="23" t="inlineStr">
        <is>
          <t>Authentication</t>
        </is>
      </c>
      <c r="C244" s="24" t="inlineStr">
        <is>
          <t>Keyboard Navigation &amp; Accessibility</t>
        </is>
      </c>
      <c r="D244" s="22" t="inlineStr">
        <is>
          <t>P1 - High</t>
        </is>
      </c>
      <c r="E244" s="23" t="inlineStr">
        <is>
          <t>Accessibility</t>
        </is>
      </c>
      <c r="F244" s="24" t="inlineStr">
        <is>
          <t>A11y - Role Toggle Buttons ARIA Role</t>
        </is>
      </c>
      <c r="G244" s="24" t="inlineStr">
        <is>
          <t>Login page loaded in browser</t>
        </is>
      </c>
      <c r="H244" s="24" t="inlineStr">
        <is>
          <t>1. Inspect Donor/Receiver toggle controls. 2. Verify accessibility compliance.</t>
        </is>
      </c>
      <c r="I244" s="24" t="inlineStr">
        <is>
          <t>Keyboard / Screen Reader input</t>
        </is>
      </c>
      <c r="J244" s="24" t="inlineStr">
        <is>
          <t>Configured as button elements with aria-pressed or clear selected state</t>
        </is>
      </c>
      <c r="K244" s="24" t="inlineStr">
        <is>
          <t>As expected</t>
        </is>
      </c>
      <c r="L244" s="25" t="inlineStr">
        <is>
          <t>Pass</t>
        </is>
      </c>
      <c r="M244" s="23" t="inlineStr">
        <is>
          <t>Automated</t>
        </is>
      </c>
    </row>
    <row r="245">
      <c r="A245" s="26" t="inlineStr">
        <is>
          <t>TC_LOG_244</t>
        </is>
      </c>
      <c r="B245" s="27" t="inlineStr">
        <is>
          <t>Authentication</t>
        </is>
      </c>
      <c r="C245" s="28" t="inlineStr">
        <is>
          <t>Keyboard Navigation &amp; Accessibility</t>
        </is>
      </c>
      <c r="D245" s="26" t="inlineStr">
        <is>
          <t>P1 - High</t>
        </is>
      </c>
      <c r="E245" s="27" t="inlineStr">
        <is>
          <t>Accessibility</t>
        </is>
      </c>
      <c r="F245" s="28" t="inlineStr">
        <is>
          <t>A11y - Error Message ARIA Alert</t>
        </is>
      </c>
      <c r="G245" s="28" t="inlineStr">
        <is>
          <t>Login page loaded in browser</t>
        </is>
      </c>
      <c r="H245" s="28" t="inlineStr">
        <is>
          <t>1. Trigger login error message. 2. Verify accessibility compliance.</t>
        </is>
      </c>
      <c r="I245" s="28" t="inlineStr">
        <is>
          <t>Keyboard / Screen Reader input</t>
        </is>
      </c>
      <c r="J245" s="28" t="inlineStr">
        <is>
          <t>Container has role='alert' for immediate screen reader announcement</t>
        </is>
      </c>
      <c r="K245" s="28" t="inlineStr">
        <is>
          <t>As expected</t>
        </is>
      </c>
      <c r="L245" s="25" t="inlineStr">
        <is>
          <t>Pass</t>
        </is>
      </c>
      <c r="M245" s="27" t="inlineStr">
        <is>
          <t>Automated</t>
        </is>
      </c>
    </row>
    <row r="246">
      <c r="A246" s="22" t="inlineStr">
        <is>
          <t>TC_LOG_245</t>
        </is>
      </c>
      <c r="B246" s="23" t="inlineStr">
        <is>
          <t>Authentication</t>
        </is>
      </c>
      <c r="C246" s="24" t="inlineStr">
        <is>
          <t>Keyboard Navigation &amp; Accessibility</t>
        </is>
      </c>
      <c r="D246" s="22" t="inlineStr">
        <is>
          <t>P1 - High</t>
        </is>
      </c>
      <c r="E246" s="23" t="inlineStr">
        <is>
          <t>Accessibility</t>
        </is>
      </c>
      <c r="F246" s="24" t="inlineStr">
        <is>
          <t>A11y - Contrast Ratio - Main Text</t>
        </is>
      </c>
      <c r="G246" s="24" t="inlineStr">
        <is>
          <t>Login page loaded in browser</t>
        </is>
      </c>
      <c r="H246" s="24" t="inlineStr">
        <is>
          <t>1. Check primary text vs background contrast. 2. Verify accessibility compliance.</t>
        </is>
      </c>
      <c r="I246" s="24" t="inlineStr">
        <is>
          <t>Keyboard / Screen Reader input</t>
        </is>
      </c>
      <c r="J246" s="24" t="inlineStr">
        <is>
          <t>Contrast &gt;= 7:1 (exceeds WCAG AAA threshold)</t>
        </is>
      </c>
      <c r="K246" s="24" t="inlineStr">
        <is>
          <t>As expected</t>
        </is>
      </c>
      <c r="L246" s="25" t="inlineStr">
        <is>
          <t>Pass</t>
        </is>
      </c>
      <c r="M246" s="23" t="inlineStr">
        <is>
          <t>Automated</t>
        </is>
      </c>
    </row>
    <row r="247">
      <c r="A247" s="26" t="inlineStr">
        <is>
          <t>TC_LOG_246</t>
        </is>
      </c>
      <c r="B247" s="27" t="inlineStr">
        <is>
          <t>Authentication</t>
        </is>
      </c>
      <c r="C247" s="28" t="inlineStr">
        <is>
          <t>Keyboard Navigation &amp; Accessibility</t>
        </is>
      </c>
      <c r="D247" s="26" t="inlineStr">
        <is>
          <t>P2 - Medium</t>
        </is>
      </c>
      <c r="E247" s="27" t="inlineStr">
        <is>
          <t>Accessibility</t>
        </is>
      </c>
      <c r="F247" s="28" t="inlineStr">
        <is>
          <t>A11y - Contrast Ratio - Brand Buttons</t>
        </is>
      </c>
      <c r="G247" s="28" t="inlineStr">
        <is>
          <t>Login page loaded in browser</t>
        </is>
      </c>
      <c r="H247" s="28" t="inlineStr">
        <is>
          <t>1. Check button text vs gradient background. 2. Verify accessibility compliance.</t>
        </is>
      </c>
      <c r="I247" s="28" t="inlineStr">
        <is>
          <t>Keyboard / Screen Reader input</t>
        </is>
      </c>
      <c r="J247" s="28" t="inlineStr">
        <is>
          <t>Contrast &gt;= 4.5:1 (meets WCAG AA threshold)</t>
        </is>
      </c>
      <c r="K247" s="28" t="inlineStr">
        <is>
          <t>As expected</t>
        </is>
      </c>
      <c r="L247" s="25" t="inlineStr">
        <is>
          <t>Pass</t>
        </is>
      </c>
      <c r="M247" s="27" t="inlineStr">
        <is>
          <t>Automated</t>
        </is>
      </c>
    </row>
    <row r="248">
      <c r="A248" s="22" t="inlineStr">
        <is>
          <t>TC_LOG_247</t>
        </is>
      </c>
      <c r="B248" s="23" t="inlineStr">
        <is>
          <t>Authentication</t>
        </is>
      </c>
      <c r="C248" s="24" t="inlineStr">
        <is>
          <t>Keyboard Navigation &amp; Accessibility</t>
        </is>
      </c>
      <c r="D248" s="22" t="inlineStr">
        <is>
          <t>P2 - Medium</t>
        </is>
      </c>
      <c r="E248" s="23" t="inlineStr">
        <is>
          <t>Accessibility</t>
        </is>
      </c>
      <c r="F248" s="24" t="inlineStr">
        <is>
          <t>A11y - Screen Reader Navigation Test (NVDA/VoiceOver)</t>
        </is>
      </c>
      <c r="G248" s="24" t="inlineStr">
        <is>
          <t>Login page loaded in browser</t>
        </is>
      </c>
      <c r="H248" s="24" t="inlineStr">
        <is>
          <t>1. Navigate page using VoiceOver screen reader. 2. Verify accessibility compliance.</t>
        </is>
      </c>
      <c r="I248" s="24" t="inlineStr">
        <is>
          <t>Keyboard / Screen Reader input</t>
        </is>
      </c>
      <c r="J248" s="24" t="inlineStr">
        <is>
          <t>All controls read aloud with proper type and title description</t>
        </is>
      </c>
      <c r="K248" s="24" t="inlineStr">
        <is>
          <t>As expected</t>
        </is>
      </c>
      <c r="L248" s="25" t="inlineStr">
        <is>
          <t>Pass</t>
        </is>
      </c>
      <c r="M248" s="23" t="inlineStr">
        <is>
          <t>Automated</t>
        </is>
      </c>
    </row>
    <row r="249">
      <c r="A249" s="26" t="inlineStr">
        <is>
          <t>TC_LOG_248</t>
        </is>
      </c>
      <c r="B249" s="27" t="inlineStr">
        <is>
          <t>Authentication</t>
        </is>
      </c>
      <c r="C249" s="28" t="inlineStr">
        <is>
          <t>Keyboard Navigation &amp; Accessibility</t>
        </is>
      </c>
      <c r="D249" s="26" t="inlineStr">
        <is>
          <t>P2 - Medium</t>
        </is>
      </c>
      <c r="E249" s="27" t="inlineStr">
        <is>
          <t>Accessibility</t>
        </is>
      </c>
      <c r="F249" s="28" t="inlineStr">
        <is>
          <t>A11y - Touch Target Minimum Dimensions</t>
        </is>
      </c>
      <c r="G249" s="28" t="inlineStr">
        <is>
          <t>Login page loaded in browser</t>
        </is>
      </c>
      <c r="H249" s="28" t="inlineStr">
        <is>
          <t>1. Inspect mobile button tap targets. 2. Verify accessibility compliance.</t>
        </is>
      </c>
      <c r="I249" s="28" t="inlineStr">
        <is>
          <t>Keyboard / Screen Reader input</t>
        </is>
      </c>
      <c r="J249" s="28" t="inlineStr">
        <is>
          <t>Buttons have minimum height of 48px (min-h-12) for touch ease</t>
        </is>
      </c>
      <c r="K249" s="28" t="inlineStr">
        <is>
          <t>As expected</t>
        </is>
      </c>
      <c r="L249" s="25" t="inlineStr">
        <is>
          <t>Pass</t>
        </is>
      </c>
      <c r="M249" s="27" t="inlineStr">
        <is>
          <t>Automated</t>
        </is>
      </c>
    </row>
    <row r="250">
      <c r="A250" s="22" t="inlineStr">
        <is>
          <t>TC_LOG_249</t>
        </is>
      </c>
      <c r="B250" s="23" t="inlineStr">
        <is>
          <t>Authentication</t>
        </is>
      </c>
      <c r="C250" s="24" t="inlineStr">
        <is>
          <t>Keyboard Navigation &amp; Accessibility</t>
        </is>
      </c>
      <c r="D250" s="22" t="inlineStr">
        <is>
          <t>P2 - Medium</t>
        </is>
      </c>
      <c r="E250" s="23" t="inlineStr">
        <is>
          <t>Accessibility</t>
        </is>
      </c>
      <c r="F250" s="24" t="inlineStr">
        <is>
          <t>A11y - Landmark Region Tags</t>
        </is>
      </c>
      <c r="G250" s="24" t="inlineStr">
        <is>
          <t>Login page loaded in browser</t>
        </is>
      </c>
      <c r="H250" s="24" t="inlineStr">
        <is>
          <t>1. Inspect page HTML structure. 2. Verify accessibility compliance.</t>
        </is>
      </c>
      <c r="I250" s="24" t="inlineStr">
        <is>
          <t>Keyboard / Screen Reader input</t>
        </is>
      </c>
      <c r="J250" s="24" t="inlineStr">
        <is>
          <t>&lt;main&gt; landmark element wraps primary login content</t>
        </is>
      </c>
      <c r="K250" s="24" t="inlineStr">
        <is>
          <t>As expected</t>
        </is>
      </c>
      <c r="L250" s="25" t="inlineStr">
        <is>
          <t>Pass</t>
        </is>
      </c>
      <c r="M250" s="23" t="inlineStr">
        <is>
          <t>Manual</t>
        </is>
      </c>
    </row>
    <row r="251">
      <c r="A251" s="26" t="inlineStr">
        <is>
          <t>TC_LOG_250</t>
        </is>
      </c>
      <c r="B251" s="27" t="inlineStr">
        <is>
          <t>Authentication</t>
        </is>
      </c>
      <c r="C251" s="28" t="inlineStr">
        <is>
          <t>Keyboard Navigation &amp; Accessibility</t>
        </is>
      </c>
      <c r="D251" s="26" t="inlineStr">
        <is>
          <t>P2 - Medium</t>
        </is>
      </c>
      <c r="E251" s="27" t="inlineStr">
        <is>
          <t>Accessibility</t>
        </is>
      </c>
      <c r="F251" s="28" t="inlineStr">
        <is>
          <t>A11y - Dynamic Content Announcer</t>
        </is>
      </c>
      <c r="G251" s="28" t="inlineStr">
        <is>
          <t>Login page loaded in browser</t>
        </is>
      </c>
      <c r="H251" s="28" t="inlineStr">
        <is>
          <t>1. Switch role or mode. 2. Verify accessibility compliance.</t>
        </is>
      </c>
      <c r="I251" s="28" t="inlineStr">
        <is>
          <t>Keyboard / Screen Reader input</t>
        </is>
      </c>
      <c r="J251" s="28" t="inlineStr">
        <is>
          <t>Aria live region announces title change to assistive tech</t>
        </is>
      </c>
      <c r="K251" s="28" t="inlineStr">
        <is>
          <t>As expected</t>
        </is>
      </c>
      <c r="L251" s="25" t="inlineStr">
        <is>
          <t>Pass</t>
        </is>
      </c>
      <c r="M251" s="27" t="inlineStr">
        <is>
          <t>Manual</t>
        </is>
      </c>
    </row>
    <row r="252">
      <c r="A252" s="22" t="inlineStr">
        <is>
          <t>TC_LOG_251</t>
        </is>
      </c>
      <c r="B252" s="23" t="inlineStr">
        <is>
          <t>Authentication</t>
        </is>
      </c>
      <c r="C252" s="24" t="inlineStr">
        <is>
          <t>Keyboard Navigation &amp; Accessibility</t>
        </is>
      </c>
      <c r="D252" s="22" t="inlineStr">
        <is>
          <t>P2 - Medium</t>
        </is>
      </c>
      <c r="E252" s="23" t="inlineStr">
        <is>
          <t>Accessibility</t>
        </is>
      </c>
      <c r="F252" s="24" t="inlineStr">
        <is>
          <t>A11y - Disable Auto-capitalize on Email</t>
        </is>
      </c>
      <c r="G252" s="24" t="inlineStr">
        <is>
          <t>Login page loaded in browser</t>
        </is>
      </c>
      <c r="H252" s="24" t="inlineStr">
        <is>
          <t>1. Inspect email input attributes. 2. Verify accessibility compliance.</t>
        </is>
      </c>
      <c r="I252" s="24" t="inlineStr">
        <is>
          <t>Keyboard / Screen Reader input</t>
        </is>
      </c>
      <c r="J252" s="24" t="inlineStr">
        <is>
          <t>autocapitalize='none' prevents automatic email capitalization</t>
        </is>
      </c>
      <c r="K252" s="24" t="inlineStr">
        <is>
          <t>As expected</t>
        </is>
      </c>
      <c r="L252" s="25" t="inlineStr">
        <is>
          <t>Pass</t>
        </is>
      </c>
      <c r="M252" s="23" t="inlineStr">
        <is>
          <t>Manual</t>
        </is>
      </c>
    </row>
    <row r="253">
      <c r="A253" s="26" t="inlineStr">
        <is>
          <t>TC_LOG_252</t>
        </is>
      </c>
      <c r="B253" s="27" t="inlineStr">
        <is>
          <t>Authentication</t>
        </is>
      </c>
      <c r="C253" s="28" t="inlineStr">
        <is>
          <t>Keyboard Navigation &amp; Accessibility</t>
        </is>
      </c>
      <c r="D253" s="26" t="inlineStr">
        <is>
          <t>P2 - Medium</t>
        </is>
      </c>
      <c r="E253" s="27" t="inlineStr">
        <is>
          <t>Accessibility</t>
        </is>
      </c>
      <c r="F253" s="28" t="inlineStr">
        <is>
          <t>A11y - Disable Auto-correct on Email</t>
        </is>
      </c>
      <c r="G253" s="28" t="inlineStr">
        <is>
          <t>Login page loaded in browser</t>
        </is>
      </c>
      <c r="H253" s="28" t="inlineStr">
        <is>
          <t>1. Inspect email input attributes. 2. Verify accessibility compliance.</t>
        </is>
      </c>
      <c r="I253" s="28" t="inlineStr">
        <is>
          <t>Keyboard / Screen Reader input</t>
        </is>
      </c>
      <c r="J253" s="28" t="inlineStr">
        <is>
          <t>autocorrect='off' / spellcheck='false' configured</t>
        </is>
      </c>
      <c r="K253" s="28" t="inlineStr">
        <is>
          <t>As expected</t>
        </is>
      </c>
      <c r="L253" s="25" t="inlineStr">
        <is>
          <t>Pass</t>
        </is>
      </c>
      <c r="M253" s="27" t="inlineStr">
        <is>
          <t>Manual</t>
        </is>
      </c>
    </row>
    <row r="254">
      <c r="A254" s="22" t="inlineStr">
        <is>
          <t>TC_LOG_253</t>
        </is>
      </c>
      <c r="B254" s="23" t="inlineStr">
        <is>
          <t>Authentication</t>
        </is>
      </c>
      <c r="C254" s="24" t="inlineStr">
        <is>
          <t>Keyboard Navigation &amp; Accessibility</t>
        </is>
      </c>
      <c r="D254" s="22" t="inlineStr">
        <is>
          <t>P2 - Medium</t>
        </is>
      </c>
      <c r="E254" s="23" t="inlineStr">
        <is>
          <t>Accessibility</t>
        </is>
      </c>
      <c r="F254" s="24" t="inlineStr">
        <is>
          <t>A11y - High Contrast Windows Theme Support</t>
        </is>
      </c>
      <c r="G254" s="24" t="inlineStr">
        <is>
          <t>Login page loaded in browser</t>
        </is>
      </c>
      <c r="H254" s="24" t="inlineStr">
        <is>
          <t>1. Enable Windows High Contrast Mode. 2. Verify accessibility compliance.</t>
        </is>
      </c>
      <c r="I254" s="24" t="inlineStr">
        <is>
          <t>Keyboard / Screen Reader input</t>
        </is>
      </c>
      <c r="J254" s="24" t="inlineStr">
        <is>
          <t>Borders and text remain clearly distinguishable</t>
        </is>
      </c>
      <c r="K254" s="24" t="inlineStr">
        <is>
          <t>As expected</t>
        </is>
      </c>
      <c r="L254" s="25" t="inlineStr">
        <is>
          <t>Pass</t>
        </is>
      </c>
      <c r="M254" s="23" t="inlineStr">
        <is>
          <t>Manual</t>
        </is>
      </c>
    </row>
    <row r="255">
      <c r="A255" s="26" t="inlineStr">
        <is>
          <t>TC_LOG_254</t>
        </is>
      </c>
      <c r="B255" s="27" t="inlineStr">
        <is>
          <t>Authentication</t>
        </is>
      </c>
      <c r="C255" s="28" t="inlineStr">
        <is>
          <t>Keyboard Navigation &amp; Accessibility</t>
        </is>
      </c>
      <c r="D255" s="26" t="inlineStr">
        <is>
          <t>P2 - Medium</t>
        </is>
      </c>
      <c r="E255" s="27" t="inlineStr">
        <is>
          <t>Accessibility</t>
        </is>
      </c>
      <c r="F255" s="28" t="inlineStr">
        <is>
          <t>A11y - No Auto-Focus Traps</t>
        </is>
      </c>
      <c r="G255" s="28" t="inlineStr">
        <is>
          <t>Login page loaded in browser</t>
        </is>
      </c>
      <c r="H255" s="28" t="inlineStr">
        <is>
          <t>1. Tab continuously through form. 2. Verify accessibility compliance.</t>
        </is>
      </c>
      <c r="I255" s="28" t="inlineStr">
        <is>
          <t>Keyboard / Screen Reader input</t>
        </is>
      </c>
      <c r="J255" s="28" t="inlineStr">
        <is>
          <t>Focus loops cleanly or exits form without getting stuck</t>
        </is>
      </c>
      <c r="K255" s="28" t="inlineStr">
        <is>
          <t>As expected</t>
        </is>
      </c>
      <c r="L255" s="25" t="inlineStr">
        <is>
          <t>Pass</t>
        </is>
      </c>
      <c r="M255" s="27" t="inlineStr">
        <is>
          <t>Manual</t>
        </is>
      </c>
    </row>
    <row r="256">
      <c r="A256" s="22" t="inlineStr">
        <is>
          <t>TC_LOG_255</t>
        </is>
      </c>
      <c r="B256" s="23" t="inlineStr">
        <is>
          <t>Authentication</t>
        </is>
      </c>
      <c r="C256" s="24" t="inlineStr">
        <is>
          <t>Keyboard Navigation &amp; Accessibility</t>
        </is>
      </c>
      <c r="D256" s="22" t="inlineStr">
        <is>
          <t>P2 - Medium</t>
        </is>
      </c>
      <c r="E256" s="23" t="inlineStr">
        <is>
          <t>Accessibility</t>
        </is>
      </c>
      <c r="F256" s="24" t="inlineStr">
        <is>
          <t>A11y - Skip to Main Content Link</t>
        </is>
      </c>
      <c r="G256" s="24" t="inlineStr">
        <is>
          <t>Login page loaded in browser</t>
        </is>
      </c>
      <c r="H256" s="24" t="inlineStr">
        <is>
          <t>1. Press Tab on initial page load. 2. Verify accessibility compliance.</t>
        </is>
      </c>
      <c r="I256" s="24" t="inlineStr">
        <is>
          <t>Keyboard / Screen Reader input</t>
        </is>
      </c>
      <c r="J256" s="24" t="inlineStr">
        <is>
          <t>Option to skip navigation directly to main form</t>
        </is>
      </c>
      <c r="K256" s="24" t="inlineStr">
        <is>
          <t>As expected</t>
        </is>
      </c>
      <c r="L256" s="25" t="inlineStr">
        <is>
          <t>Pass</t>
        </is>
      </c>
      <c r="M256" s="23" t="inlineStr">
        <is>
          <t>Manual</t>
        </is>
      </c>
    </row>
    <row r="257">
      <c r="A257" s="26" t="inlineStr">
        <is>
          <t>TC_LOG_256</t>
        </is>
      </c>
      <c r="B257" s="27" t="inlineStr">
        <is>
          <t>Authentication</t>
        </is>
      </c>
      <c r="C257" s="28" t="inlineStr">
        <is>
          <t>Session &amp; State Management</t>
        </is>
      </c>
      <c r="D257" s="26" t="inlineStr">
        <is>
          <t>P0 - Critical</t>
        </is>
      </c>
      <c r="E257" s="27" t="inlineStr">
        <is>
          <t>Functional</t>
        </is>
      </c>
      <c r="F257" s="28" t="inlineStr">
        <is>
          <t>Session - Auth Token LocalStorage Persistence</t>
        </is>
      </c>
      <c r="G257" s="28" t="inlineStr">
        <is>
          <t>SHAREBITE state manager initialized</t>
        </is>
      </c>
      <c r="H257" s="28" t="inlineStr">
        <is>
          <t>1. Log in successfully and check localStorage. 2. Inspect session state.</t>
        </is>
      </c>
      <c r="I257" s="28" t="inlineStr">
        <is>
          <t>State inspection</t>
        </is>
      </c>
      <c r="J257" s="28" t="inlineStr">
        <is>
          <t>auth_token saved in localStorage</t>
        </is>
      </c>
      <c r="K257" s="28" t="inlineStr">
        <is>
          <t>As expected</t>
        </is>
      </c>
      <c r="L257" s="25" t="inlineStr">
        <is>
          <t>Pass</t>
        </is>
      </c>
      <c r="M257" s="27" t="inlineStr">
        <is>
          <t>Automated</t>
        </is>
      </c>
    </row>
    <row r="258">
      <c r="A258" s="22" t="inlineStr">
        <is>
          <t>TC_LOG_257</t>
        </is>
      </c>
      <c r="B258" s="23" t="inlineStr">
        <is>
          <t>Authentication</t>
        </is>
      </c>
      <c r="C258" s="24" t="inlineStr">
        <is>
          <t>Session &amp; State Management</t>
        </is>
      </c>
      <c r="D258" s="22" t="inlineStr">
        <is>
          <t>P0 - Critical</t>
        </is>
      </c>
      <c r="E258" s="23" t="inlineStr">
        <is>
          <t>Functional</t>
        </is>
      </c>
      <c r="F258" s="24" t="inlineStr">
        <is>
          <t>Session - User Role Storage Persistence</t>
        </is>
      </c>
      <c r="G258" s="24" t="inlineStr">
        <is>
          <t>SHAREBITE state manager initialized</t>
        </is>
      </c>
      <c r="H258" s="24" t="inlineStr">
        <is>
          <t>1. Log in as Donor and inspect storage. 2. Inspect session state.</t>
        </is>
      </c>
      <c r="I258" s="24" t="inlineStr">
        <is>
          <t>State inspection</t>
        </is>
      </c>
      <c r="J258" s="24" t="inlineStr">
        <is>
          <t>user_role='donor' stored in application state</t>
        </is>
      </c>
      <c r="K258" s="24" t="inlineStr">
        <is>
          <t>As expected</t>
        </is>
      </c>
      <c r="L258" s="25" t="inlineStr">
        <is>
          <t>Pass</t>
        </is>
      </c>
      <c r="M258" s="23" t="inlineStr">
        <is>
          <t>Automated</t>
        </is>
      </c>
    </row>
    <row r="259">
      <c r="A259" s="26" t="inlineStr">
        <is>
          <t>TC_LOG_258</t>
        </is>
      </c>
      <c r="B259" s="27" t="inlineStr">
        <is>
          <t>Authentication</t>
        </is>
      </c>
      <c r="C259" s="28" t="inlineStr">
        <is>
          <t>Session &amp; State Management</t>
        </is>
      </c>
      <c r="D259" s="26" t="inlineStr">
        <is>
          <t>P0 - Critical</t>
        </is>
      </c>
      <c r="E259" s="27" t="inlineStr">
        <is>
          <t>Functional</t>
        </is>
      </c>
      <c r="F259" s="28" t="inlineStr">
        <is>
          <t>Session - Page Refresh Session Maintenance</t>
        </is>
      </c>
      <c r="G259" s="28" t="inlineStr">
        <is>
          <t>SHAREBITE state manager initialized</t>
        </is>
      </c>
      <c r="H259" s="28" t="inlineStr">
        <is>
          <t>1. Log in and press F5. 2. Inspect session state.</t>
        </is>
      </c>
      <c r="I259" s="28" t="inlineStr">
        <is>
          <t>State inspection</t>
        </is>
      </c>
      <c r="J259" s="28" t="inlineStr">
        <is>
          <t>User remains logged in on dashboard without requiring re-auth</t>
        </is>
      </c>
      <c r="K259" s="28" t="inlineStr">
        <is>
          <t>As expected</t>
        </is>
      </c>
      <c r="L259" s="25" t="inlineStr">
        <is>
          <t>Pass</t>
        </is>
      </c>
      <c r="M259" s="27" t="inlineStr">
        <is>
          <t>Automated</t>
        </is>
      </c>
    </row>
    <row r="260">
      <c r="A260" s="22" t="inlineStr">
        <is>
          <t>TC_LOG_259</t>
        </is>
      </c>
      <c r="B260" s="23" t="inlineStr">
        <is>
          <t>Authentication</t>
        </is>
      </c>
      <c r="C260" s="24" t="inlineStr">
        <is>
          <t>Session &amp; State Management</t>
        </is>
      </c>
      <c r="D260" s="22" t="inlineStr">
        <is>
          <t>P0 - Critical</t>
        </is>
      </c>
      <c r="E260" s="23" t="inlineStr">
        <is>
          <t>Functional</t>
        </is>
      </c>
      <c r="F260" s="24" t="inlineStr">
        <is>
          <t>Session - Browser Restart Session Retention</t>
        </is>
      </c>
      <c r="G260" s="24" t="inlineStr">
        <is>
          <t>SHAREBITE state manager initialized</t>
        </is>
      </c>
      <c r="H260" s="24" t="inlineStr">
        <is>
          <t>1. Log in, close browser completely, reopen URL. 2. Inspect session state.</t>
        </is>
      </c>
      <c r="I260" s="24" t="inlineStr">
        <is>
          <t>State inspection</t>
        </is>
      </c>
      <c r="J260" s="24" t="inlineStr">
        <is>
          <t>User session restored if 'Remember Me' active</t>
        </is>
      </c>
      <c r="K260" s="24" t="inlineStr">
        <is>
          <t>As expected</t>
        </is>
      </c>
      <c r="L260" s="25" t="inlineStr">
        <is>
          <t>Pass</t>
        </is>
      </c>
      <c r="M260" s="23" t="inlineStr">
        <is>
          <t>Automated</t>
        </is>
      </c>
    </row>
    <row r="261">
      <c r="A261" s="26" t="inlineStr">
        <is>
          <t>TC_LOG_260</t>
        </is>
      </c>
      <c r="B261" s="27" t="inlineStr">
        <is>
          <t>Authentication</t>
        </is>
      </c>
      <c r="C261" s="28" t="inlineStr">
        <is>
          <t>Session &amp; State Management</t>
        </is>
      </c>
      <c r="D261" s="26" t="inlineStr">
        <is>
          <t>P0 - Critical</t>
        </is>
      </c>
      <c r="E261" s="27" t="inlineStr">
        <is>
          <t>Functional</t>
        </is>
      </c>
      <c r="F261" s="28" t="inlineStr">
        <is>
          <t>Session - Logout Clears Storage Tokens</t>
        </is>
      </c>
      <c r="G261" s="28" t="inlineStr">
        <is>
          <t>SHAREBITE state manager initialized</t>
        </is>
      </c>
      <c r="H261" s="28" t="inlineStr">
        <is>
          <t>1. Click Logout on dashboard. 2. Inspect session state.</t>
        </is>
      </c>
      <c r="I261" s="28" t="inlineStr">
        <is>
          <t>State inspection</t>
        </is>
      </c>
      <c r="J261" s="28" t="inlineStr">
        <is>
          <t>auth_token, user_role, and cached user data removed from storage</t>
        </is>
      </c>
      <c r="K261" s="28" t="inlineStr">
        <is>
          <t>As expected</t>
        </is>
      </c>
      <c r="L261" s="25" t="inlineStr">
        <is>
          <t>Pass</t>
        </is>
      </c>
      <c r="M261" s="27" t="inlineStr">
        <is>
          <t>Automated</t>
        </is>
      </c>
    </row>
    <row r="262">
      <c r="A262" s="22" t="inlineStr">
        <is>
          <t>TC_LOG_261</t>
        </is>
      </c>
      <c r="B262" s="23" t="inlineStr">
        <is>
          <t>Authentication</t>
        </is>
      </c>
      <c r="C262" s="24" t="inlineStr">
        <is>
          <t>Session &amp; State Management</t>
        </is>
      </c>
      <c r="D262" s="22" t="inlineStr">
        <is>
          <t>P0 - Critical</t>
        </is>
      </c>
      <c r="E262" s="23" t="inlineStr">
        <is>
          <t>Functional</t>
        </is>
      </c>
      <c r="F262" s="24" t="inlineStr">
        <is>
          <t>Session - Multi-tab State Synchronization</t>
        </is>
      </c>
      <c r="G262" s="24" t="inlineStr">
        <is>
          <t>SHAREBITE state manager initialized</t>
        </is>
      </c>
      <c r="H262" s="24" t="inlineStr">
        <is>
          <t>1. Log in on Tab 1. 2. Inspect session state.</t>
        </is>
      </c>
      <c r="I262" s="24" t="inlineStr">
        <is>
          <t>State inspection</t>
        </is>
      </c>
      <c r="J262" s="24" t="inlineStr">
        <is>
          <t>Tab 2 updates state automatically via storage event listener</t>
        </is>
      </c>
      <c r="K262" s="24" t="inlineStr">
        <is>
          <t>As expected</t>
        </is>
      </c>
      <c r="L262" s="25" t="inlineStr">
        <is>
          <t>Pass</t>
        </is>
      </c>
      <c r="M262" s="23" t="inlineStr">
        <is>
          <t>Automated</t>
        </is>
      </c>
    </row>
    <row r="263">
      <c r="A263" s="26" t="inlineStr">
        <is>
          <t>TC_LOG_262</t>
        </is>
      </c>
      <c r="B263" s="27" t="inlineStr">
        <is>
          <t>Authentication</t>
        </is>
      </c>
      <c r="C263" s="28" t="inlineStr">
        <is>
          <t>Session &amp; State Management</t>
        </is>
      </c>
      <c r="D263" s="26" t="inlineStr">
        <is>
          <t>P0 - Critical</t>
        </is>
      </c>
      <c r="E263" s="27" t="inlineStr">
        <is>
          <t>Functional</t>
        </is>
      </c>
      <c r="F263" s="28" t="inlineStr">
        <is>
          <t>Session - Multi-tab Logout Synchronization</t>
        </is>
      </c>
      <c r="G263" s="28" t="inlineStr">
        <is>
          <t>SHAREBITE state manager initialized</t>
        </is>
      </c>
      <c r="H263" s="28" t="inlineStr">
        <is>
          <t>1. Log out on Tab 1. 2. Inspect session state.</t>
        </is>
      </c>
      <c r="I263" s="28" t="inlineStr">
        <is>
          <t>State inspection</t>
        </is>
      </c>
      <c r="J263" s="28" t="inlineStr">
        <is>
          <t>Tab 2 detects token removal and redirects to /login</t>
        </is>
      </c>
      <c r="K263" s="28" t="inlineStr">
        <is>
          <t>As expected</t>
        </is>
      </c>
      <c r="L263" s="25" t="inlineStr">
        <is>
          <t>Pass</t>
        </is>
      </c>
      <c r="M263" s="27" t="inlineStr">
        <is>
          <t>Automated</t>
        </is>
      </c>
    </row>
    <row r="264">
      <c r="A264" s="22" t="inlineStr">
        <is>
          <t>TC_LOG_263</t>
        </is>
      </c>
      <c r="B264" s="23" t="inlineStr">
        <is>
          <t>Authentication</t>
        </is>
      </c>
      <c r="C264" s="24" t="inlineStr">
        <is>
          <t>Session &amp; State Management</t>
        </is>
      </c>
      <c r="D264" s="22" t="inlineStr">
        <is>
          <t>P0 - Critical</t>
        </is>
      </c>
      <c r="E264" s="23" t="inlineStr">
        <is>
          <t>Functional</t>
        </is>
      </c>
      <c r="F264" s="24" t="inlineStr">
        <is>
          <t>Session - Expired JWT Token Handling</t>
        </is>
      </c>
      <c r="G264" s="24" t="inlineStr">
        <is>
          <t>SHAREBITE state manager initialized</t>
        </is>
      </c>
      <c r="H264" s="24" t="inlineStr">
        <is>
          <t>1. Store an expired JWT in localStorage and refresh. 2. Inspect session state.</t>
        </is>
      </c>
      <c r="I264" s="24" t="inlineStr">
        <is>
          <t>State inspection</t>
        </is>
      </c>
      <c r="J264" s="24" t="inlineStr">
        <is>
          <t>App clears expired token and shows login screen</t>
        </is>
      </c>
      <c r="K264" s="24" t="inlineStr">
        <is>
          <t>As expected</t>
        </is>
      </c>
      <c r="L264" s="25" t="inlineStr">
        <is>
          <t>Pass</t>
        </is>
      </c>
      <c r="M264" s="23" t="inlineStr">
        <is>
          <t>Automated</t>
        </is>
      </c>
    </row>
    <row r="265">
      <c r="A265" s="26" t="inlineStr">
        <is>
          <t>TC_LOG_264</t>
        </is>
      </c>
      <c r="B265" s="27" t="inlineStr">
        <is>
          <t>Authentication</t>
        </is>
      </c>
      <c r="C265" s="28" t="inlineStr">
        <is>
          <t>Session &amp; State Management</t>
        </is>
      </c>
      <c r="D265" s="26" t="inlineStr">
        <is>
          <t>P0 - Critical</t>
        </is>
      </c>
      <c r="E265" s="27" t="inlineStr">
        <is>
          <t>Functional</t>
        </is>
      </c>
      <c r="F265" s="28" t="inlineStr">
        <is>
          <t>Session - Corrupted Storage Token Handling</t>
        </is>
      </c>
      <c r="G265" s="28" t="inlineStr">
        <is>
          <t>SHAREBITE state manager initialized</t>
        </is>
      </c>
      <c r="H265" s="28" t="inlineStr">
        <is>
          <t>1. Store invalid string 'xyz' in auth_token key. 2. Inspect session state.</t>
        </is>
      </c>
      <c r="I265" s="28" t="inlineStr">
        <is>
          <t>State inspection</t>
        </is>
      </c>
      <c r="J265" s="28" t="inlineStr">
        <is>
          <t>App sanitizes bad token and defaults to guest login state</t>
        </is>
      </c>
      <c r="K265" s="28" t="inlineStr">
        <is>
          <t>As expected</t>
        </is>
      </c>
      <c r="L265" s="25" t="inlineStr">
        <is>
          <t>Pass</t>
        </is>
      </c>
      <c r="M265" s="27" t="inlineStr">
        <is>
          <t>Automated</t>
        </is>
      </c>
    </row>
    <row r="266">
      <c r="A266" s="22" t="inlineStr">
        <is>
          <t>TC_LOG_265</t>
        </is>
      </c>
      <c r="B266" s="23" t="inlineStr">
        <is>
          <t>Authentication</t>
        </is>
      </c>
      <c r="C266" s="24" t="inlineStr">
        <is>
          <t>Session &amp; State Management</t>
        </is>
      </c>
      <c r="D266" s="22" t="inlineStr">
        <is>
          <t>P0 - Critical</t>
        </is>
      </c>
      <c r="E266" s="23" t="inlineStr">
        <is>
          <t>Functional</t>
        </is>
      </c>
      <c r="F266" s="24" t="inlineStr">
        <is>
          <t>Session - Session Idle Timeout Warning</t>
        </is>
      </c>
      <c r="G266" s="24" t="inlineStr">
        <is>
          <t>SHAREBITE state manager initialized</t>
        </is>
      </c>
      <c r="H266" s="24" t="inlineStr">
        <is>
          <t>1. Leave app inactive for 15 minutes. 2. Inspect session state.</t>
        </is>
      </c>
      <c r="I266" s="24" t="inlineStr">
        <is>
          <t>State inspection</t>
        </is>
      </c>
      <c r="J266" s="24" t="inlineStr">
        <is>
          <t>Idle timeout modal appears warning user of impending logout</t>
        </is>
      </c>
      <c r="K266" s="24" t="inlineStr">
        <is>
          <t>As expected</t>
        </is>
      </c>
      <c r="L266" s="25" t="inlineStr">
        <is>
          <t>Pass</t>
        </is>
      </c>
      <c r="M266" s="23" t="inlineStr">
        <is>
          <t>Automated</t>
        </is>
      </c>
    </row>
    <row r="267">
      <c r="A267" s="26" t="inlineStr">
        <is>
          <t>TC_LOG_266</t>
        </is>
      </c>
      <c r="B267" s="27" t="inlineStr">
        <is>
          <t>Authentication</t>
        </is>
      </c>
      <c r="C267" s="28" t="inlineStr">
        <is>
          <t>Session &amp; State Management</t>
        </is>
      </c>
      <c r="D267" s="26" t="inlineStr">
        <is>
          <t>P1 - High</t>
        </is>
      </c>
      <c r="E267" s="27" t="inlineStr">
        <is>
          <t>Functional</t>
        </is>
      </c>
      <c r="F267" s="28" t="inlineStr">
        <is>
          <t>Session - Session Heartbeat Keep-Alive</t>
        </is>
      </c>
      <c r="G267" s="28" t="inlineStr">
        <is>
          <t>SHAREBITE state manager initialized</t>
        </is>
      </c>
      <c r="H267" s="28" t="inlineStr">
        <is>
          <t>1. Perform user interactions while active. 2. Inspect session state.</t>
        </is>
      </c>
      <c r="I267" s="28" t="inlineStr">
        <is>
          <t>State inspection</t>
        </is>
      </c>
      <c r="J267" s="28" t="inlineStr">
        <is>
          <t>App sends periodic keep-alive ping to maintain active session</t>
        </is>
      </c>
      <c r="K267" s="28" t="inlineStr">
        <is>
          <t>As expected</t>
        </is>
      </c>
      <c r="L267" s="25" t="inlineStr">
        <is>
          <t>Pass</t>
        </is>
      </c>
      <c r="M267" s="27" t="inlineStr">
        <is>
          <t>Automated</t>
        </is>
      </c>
    </row>
    <row r="268">
      <c r="A268" s="22" t="inlineStr">
        <is>
          <t>TC_LOG_267</t>
        </is>
      </c>
      <c r="B268" s="23" t="inlineStr">
        <is>
          <t>Authentication</t>
        </is>
      </c>
      <c r="C268" s="24" t="inlineStr">
        <is>
          <t>Session &amp; State Management</t>
        </is>
      </c>
      <c r="D268" s="22" t="inlineStr">
        <is>
          <t>P1 - High</t>
        </is>
      </c>
      <c r="E268" s="23" t="inlineStr">
        <is>
          <t>Functional</t>
        </is>
      </c>
      <c r="F268" s="24" t="inlineStr">
        <is>
          <t>Session - Role Switching Session Clearance</t>
        </is>
      </c>
      <c r="G268" s="24" t="inlineStr">
        <is>
          <t>SHAREBITE state manager initialized</t>
        </is>
      </c>
      <c r="H268" s="24" t="inlineStr">
        <is>
          <t>1. Log in as Donor, log out, log in as Receiver. 2. Inspect session state.</t>
        </is>
      </c>
      <c r="I268" s="24" t="inlineStr">
        <is>
          <t>State inspection</t>
        </is>
      </c>
      <c r="J268" s="24" t="inlineStr">
        <is>
          <t>Previous donor session state completely erased</t>
        </is>
      </c>
      <c r="K268" s="24" t="inlineStr">
        <is>
          <t>As expected</t>
        </is>
      </c>
      <c r="L268" s="25" t="inlineStr">
        <is>
          <t>Pass</t>
        </is>
      </c>
      <c r="M268" s="23" t="inlineStr">
        <is>
          <t>Automated</t>
        </is>
      </c>
    </row>
    <row r="269">
      <c r="A269" s="26" t="inlineStr">
        <is>
          <t>TC_LOG_268</t>
        </is>
      </c>
      <c r="B269" s="27" t="inlineStr">
        <is>
          <t>Authentication</t>
        </is>
      </c>
      <c r="C269" s="28" t="inlineStr">
        <is>
          <t>Session &amp; State Management</t>
        </is>
      </c>
      <c r="D269" s="26" t="inlineStr">
        <is>
          <t>P1 - High</t>
        </is>
      </c>
      <c r="E269" s="27" t="inlineStr">
        <is>
          <t>Functional</t>
        </is>
      </c>
      <c r="F269" s="28" t="inlineStr">
        <is>
          <t>Session - Cross-Domain Storage Leakage Check</t>
        </is>
      </c>
      <c r="G269" s="28" t="inlineStr">
        <is>
          <t>SHAREBITE state manager initialized</t>
        </is>
      </c>
      <c r="H269" s="28" t="inlineStr">
        <is>
          <t>1. Check storage from external domain. 2. Inspect session state.</t>
        </is>
      </c>
      <c r="I269" s="28" t="inlineStr">
        <is>
          <t>State inspection</t>
        </is>
      </c>
      <c r="J269" s="28" t="inlineStr">
        <is>
          <t>Storage isolated strictly to application origin</t>
        </is>
      </c>
      <c r="K269" s="28" t="inlineStr">
        <is>
          <t>As expected</t>
        </is>
      </c>
      <c r="L269" s="25" t="inlineStr">
        <is>
          <t>Pass</t>
        </is>
      </c>
      <c r="M269" s="27" t="inlineStr">
        <is>
          <t>Automated</t>
        </is>
      </c>
    </row>
    <row r="270">
      <c r="A270" s="22" t="inlineStr">
        <is>
          <t>TC_LOG_269</t>
        </is>
      </c>
      <c r="B270" s="23" t="inlineStr">
        <is>
          <t>Authentication</t>
        </is>
      </c>
      <c r="C270" s="24" t="inlineStr">
        <is>
          <t>Session &amp; State Management</t>
        </is>
      </c>
      <c r="D270" s="22" t="inlineStr">
        <is>
          <t>P1 - High</t>
        </is>
      </c>
      <c r="E270" s="23" t="inlineStr">
        <is>
          <t>Functional</t>
        </is>
      </c>
      <c r="F270" s="24" t="inlineStr">
        <is>
          <t>Session - Private / Incognito Mode Compatibility</t>
        </is>
      </c>
      <c r="G270" s="24" t="inlineStr">
        <is>
          <t>SHAREBITE state manager initialized</t>
        </is>
      </c>
      <c r="H270" s="24" t="inlineStr">
        <is>
          <t>1. Perform login in Chrome Incognito mode. 2. Inspect session state.</t>
        </is>
      </c>
      <c r="I270" s="24" t="inlineStr">
        <is>
          <t>State inspection</t>
        </is>
      </c>
      <c r="J270" s="24" t="inlineStr">
        <is>
          <t>Session functions normally in isolated private storage</t>
        </is>
      </c>
      <c r="K270" s="24" t="inlineStr">
        <is>
          <t>As expected</t>
        </is>
      </c>
      <c r="L270" s="25" t="inlineStr">
        <is>
          <t>Pass</t>
        </is>
      </c>
      <c r="M270" s="23" t="inlineStr">
        <is>
          <t>Automated</t>
        </is>
      </c>
    </row>
    <row r="271">
      <c r="A271" s="26" t="inlineStr">
        <is>
          <t>TC_LOG_270</t>
        </is>
      </c>
      <c r="B271" s="27" t="inlineStr">
        <is>
          <t>Authentication</t>
        </is>
      </c>
      <c r="C271" s="28" t="inlineStr">
        <is>
          <t>Session &amp; State Management</t>
        </is>
      </c>
      <c r="D271" s="26" t="inlineStr">
        <is>
          <t>P1 - High</t>
        </is>
      </c>
      <c r="E271" s="27" t="inlineStr">
        <is>
          <t>Functional</t>
        </is>
      </c>
      <c r="F271" s="28" t="inlineStr">
        <is>
          <t>Session - Cookies Disabled Graceful Behavior</t>
        </is>
      </c>
      <c r="G271" s="28" t="inlineStr">
        <is>
          <t>SHAREBITE state manager initialized</t>
        </is>
      </c>
      <c r="H271" s="28" t="inlineStr">
        <is>
          <t>1. Block cookies in browser settings. 2. Inspect session state.</t>
        </is>
      </c>
      <c r="I271" s="28" t="inlineStr">
        <is>
          <t>State inspection</t>
        </is>
      </c>
      <c r="J271" s="28" t="inlineStr">
        <is>
          <t>App utilizes fallback storage mechanism without crash</t>
        </is>
      </c>
      <c r="K271" s="28" t="inlineStr">
        <is>
          <t>As expected</t>
        </is>
      </c>
      <c r="L271" s="25" t="inlineStr">
        <is>
          <t>Pass</t>
        </is>
      </c>
      <c r="M271" s="27" t="inlineStr">
        <is>
          <t>Automated</t>
        </is>
      </c>
    </row>
    <row r="272">
      <c r="A272" s="22" t="inlineStr">
        <is>
          <t>TC_LOG_271</t>
        </is>
      </c>
      <c r="B272" s="23" t="inlineStr">
        <is>
          <t>Authentication</t>
        </is>
      </c>
      <c r="C272" s="24" t="inlineStr">
        <is>
          <t>Session &amp; State Management</t>
        </is>
      </c>
      <c r="D272" s="22" t="inlineStr">
        <is>
          <t>P1 - High</t>
        </is>
      </c>
      <c r="E272" s="23" t="inlineStr">
        <is>
          <t>Security</t>
        </is>
      </c>
      <c r="F272" s="24" t="inlineStr">
        <is>
          <t>Session - Third-Party Extension Storage Isolation</t>
        </is>
      </c>
      <c r="G272" s="24" t="inlineStr">
        <is>
          <t>SHAREBITE state manager initialized</t>
        </is>
      </c>
      <c r="H272" s="24" t="inlineStr">
        <is>
          <t>1. Check for state pollution from browser extensions. 2. Inspect session state.</t>
        </is>
      </c>
      <c r="I272" s="24" t="inlineStr">
        <is>
          <t>State inspection</t>
        </is>
      </c>
      <c r="J272" s="24" t="inlineStr">
        <is>
          <t>Application state isolated from third-party scripts</t>
        </is>
      </c>
      <c r="K272" s="24" t="inlineStr">
        <is>
          <t>As expected</t>
        </is>
      </c>
      <c r="L272" s="25" t="inlineStr">
        <is>
          <t>Pass</t>
        </is>
      </c>
      <c r="M272" s="23" t="inlineStr">
        <is>
          <t>Automated</t>
        </is>
      </c>
    </row>
    <row r="273">
      <c r="A273" s="26" t="inlineStr">
        <is>
          <t>TC_LOG_272</t>
        </is>
      </c>
      <c r="B273" s="27" t="inlineStr">
        <is>
          <t>Authentication</t>
        </is>
      </c>
      <c r="C273" s="28" t="inlineStr">
        <is>
          <t>Session &amp; State Management</t>
        </is>
      </c>
      <c r="D273" s="26" t="inlineStr">
        <is>
          <t>P1 - High</t>
        </is>
      </c>
      <c r="E273" s="27" t="inlineStr">
        <is>
          <t>Security</t>
        </is>
      </c>
      <c r="F273" s="28" t="inlineStr">
        <is>
          <t>Session - Concurrent User Login Switching</t>
        </is>
      </c>
      <c r="G273" s="28" t="inlineStr">
        <is>
          <t>SHAREBITE state manager initialized</t>
        </is>
      </c>
      <c r="H273" s="28" t="inlineStr">
        <is>
          <t>1. Switch logged-in accounts on same device. 2. Inspect session state.</t>
        </is>
      </c>
      <c r="I273" s="28" t="inlineStr">
        <is>
          <t>State inspection</t>
        </is>
      </c>
      <c r="J273" s="28" t="inlineStr">
        <is>
          <t>Old user data flushed completely before new user session loads</t>
        </is>
      </c>
      <c r="K273" s="28" t="inlineStr">
        <is>
          <t>As expected</t>
        </is>
      </c>
      <c r="L273" s="25" t="inlineStr">
        <is>
          <t>Pass</t>
        </is>
      </c>
      <c r="M273" s="27" t="inlineStr">
        <is>
          <t>Automated</t>
        </is>
      </c>
    </row>
    <row r="274">
      <c r="A274" s="22" t="inlineStr">
        <is>
          <t>TC_LOG_273</t>
        </is>
      </c>
      <c r="B274" s="23" t="inlineStr">
        <is>
          <t>Authentication</t>
        </is>
      </c>
      <c r="C274" s="24" t="inlineStr">
        <is>
          <t>Session &amp; State Management</t>
        </is>
      </c>
      <c r="D274" s="22" t="inlineStr">
        <is>
          <t>P1 - High</t>
        </is>
      </c>
      <c r="E274" s="23" t="inlineStr">
        <is>
          <t>Security</t>
        </is>
      </c>
      <c r="F274" s="24" t="inlineStr">
        <is>
          <t>Session - Dashboard Direct Access Guest Guard</t>
        </is>
      </c>
      <c r="G274" s="24" t="inlineStr">
        <is>
          <t>SHAREBITE state manager initialized</t>
        </is>
      </c>
      <c r="H274" s="24" t="inlineStr">
        <is>
          <t>1. Clear storage and attempt to view /dashboard. 2. Inspect session state.</t>
        </is>
      </c>
      <c r="I274" s="24" t="inlineStr">
        <is>
          <t>State inspection</t>
        </is>
      </c>
      <c r="J274" s="24" t="inlineStr">
        <is>
          <t>Protected route guard redirects guest to /login</t>
        </is>
      </c>
      <c r="K274" s="24" t="inlineStr">
        <is>
          <t>As expected</t>
        </is>
      </c>
      <c r="L274" s="25" t="inlineStr">
        <is>
          <t>Pass</t>
        </is>
      </c>
      <c r="M274" s="23" t="inlineStr">
        <is>
          <t>Manual</t>
        </is>
      </c>
    </row>
    <row r="275">
      <c r="A275" s="26" t="inlineStr">
        <is>
          <t>TC_LOG_274</t>
        </is>
      </c>
      <c r="B275" s="27" t="inlineStr">
        <is>
          <t>Authentication</t>
        </is>
      </c>
      <c r="C275" s="28" t="inlineStr">
        <is>
          <t>Session &amp; State Management</t>
        </is>
      </c>
      <c r="D275" s="26" t="inlineStr">
        <is>
          <t>P1 - High</t>
        </is>
      </c>
      <c r="E275" s="27" t="inlineStr">
        <is>
          <t>Security</t>
        </is>
      </c>
      <c r="F275" s="28" t="inlineStr">
        <is>
          <t>Session - Public Section Unauthenticated Access</t>
        </is>
      </c>
      <c r="G275" s="28" t="inlineStr">
        <is>
          <t>SHAREBITE state manager initialized</t>
        </is>
      </c>
      <c r="H275" s="28" t="inlineStr">
        <is>
          <t>1. Navigate to /public without login token. 2. Inspect session state.</t>
        </is>
      </c>
      <c r="I275" s="28" t="inlineStr">
        <is>
          <t>State inspection</t>
        </is>
      </c>
      <c r="J275" s="28" t="inlineStr">
        <is>
          <t>Public section accessible without requiring login token</t>
        </is>
      </c>
      <c r="K275" s="28" t="inlineStr">
        <is>
          <t>As expected</t>
        </is>
      </c>
      <c r="L275" s="25" t="inlineStr">
        <is>
          <t>Pass</t>
        </is>
      </c>
      <c r="M275" s="27" t="inlineStr">
        <is>
          <t>Manual</t>
        </is>
      </c>
    </row>
    <row r="276">
      <c r="A276" s="22" t="inlineStr">
        <is>
          <t>TC_LOG_275</t>
        </is>
      </c>
      <c r="B276" s="23" t="inlineStr">
        <is>
          <t>Authentication</t>
        </is>
      </c>
      <c r="C276" s="24" t="inlineStr">
        <is>
          <t>Session &amp; State Management</t>
        </is>
      </c>
      <c r="D276" s="22" t="inlineStr">
        <is>
          <t>P1 - High</t>
        </is>
      </c>
      <c r="E276" s="23" t="inlineStr">
        <is>
          <t>Security</t>
        </is>
      </c>
      <c r="F276" s="24" t="inlineStr">
        <is>
          <t>Session - Session Token Revocation Response</t>
        </is>
      </c>
      <c r="G276" s="24" t="inlineStr">
        <is>
          <t>SHAREBITE state manager initialized</t>
        </is>
      </c>
      <c r="H276" s="24" t="inlineStr">
        <is>
          <t>1. Revoke token on backend admin console. 2. Inspect session state.</t>
        </is>
      </c>
      <c r="I276" s="24" t="inlineStr">
        <is>
          <t>State inspection</t>
        </is>
      </c>
      <c r="J276" s="24" t="inlineStr">
        <is>
          <t>Next client API call receives 401 and forces login screen</t>
        </is>
      </c>
      <c r="K276" s="24" t="inlineStr">
        <is>
          <t>As expected</t>
        </is>
      </c>
      <c r="L276" s="25" t="inlineStr">
        <is>
          <t>Pass</t>
        </is>
      </c>
      <c r="M276" s="23" t="inlineStr">
        <is>
          <t>Manual</t>
        </is>
      </c>
    </row>
    <row r="277">
      <c r="A277" s="26" t="inlineStr">
        <is>
          <t>TC_LOG_276</t>
        </is>
      </c>
      <c r="B277" s="27" t="inlineStr">
        <is>
          <t>Authentication</t>
        </is>
      </c>
      <c r="C277" s="28" t="inlineStr">
        <is>
          <t>Session &amp; State Management</t>
        </is>
      </c>
      <c r="D277" s="26" t="inlineStr">
        <is>
          <t>P2 - Medium</t>
        </is>
      </c>
      <c r="E277" s="27" t="inlineStr">
        <is>
          <t>Security</t>
        </is>
      </c>
      <c r="F277" s="28" t="inlineStr">
        <is>
          <t>Session - Local Storage Quota Exceeded Safety</t>
        </is>
      </c>
      <c r="G277" s="28" t="inlineStr">
        <is>
          <t>SHAREBITE state manager initialized</t>
        </is>
      </c>
      <c r="H277" s="28" t="inlineStr">
        <is>
          <t>1. Fill localStorage near 5MB quota limit. 2. Inspect session state.</t>
        </is>
      </c>
      <c r="I277" s="28" t="inlineStr">
        <is>
          <t>State inspection</t>
        </is>
      </c>
      <c r="J277" s="28" t="inlineStr">
        <is>
          <t>Auth token write succeeds without throwing DOMException</t>
        </is>
      </c>
      <c r="K277" s="28" t="inlineStr">
        <is>
          <t>As expected</t>
        </is>
      </c>
      <c r="L277" s="25" t="inlineStr">
        <is>
          <t>Pass</t>
        </is>
      </c>
      <c r="M277" s="27" t="inlineStr">
        <is>
          <t>Manual</t>
        </is>
      </c>
    </row>
    <row r="278">
      <c r="A278" s="22" t="inlineStr">
        <is>
          <t>TC_LOG_277</t>
        </is>
      </c>
      <c r="B278" s="23" t="inlineStr">
        <is>
          <t>Authentication</t>
        </is>
      </c>
      <c r="C278" s="24" t="inlineStr">
        <is>
          <t>Session &amp; State Management</t>
        </is>
      </c>
      <c r="D278" s="22" t="inlineStr">
        <is>
          <t>P2 - Medium</t>
        </is>
      </c>
      <c r="E278" s="23" t="inlineStr">
        <is>
          <t>Security</t>
        </is>
      </c>
      <c r="F278" s="24" t="inlineStr">
        <is>
          <t>Session - State Hydration Performance</t>
        </is>
      </c>
      <c r="G278" s="24" t="inlineStr">
        <is>
          <t>SHAREBITE state manager initialized</t>
        </is>
      </c>
      <c r="H278" s="24" t="inlineStr">
        <is>
          <t>1. Measure time to hydrate user state from storage on app load. 2. Inspect session state.</t>
        </is>
      </c>
      <c r="I278" s="24" t="inlineStr">
        <is>
          <t>State inspection</t>
        </is>
      </c>
      <c r="J278" s="24" t="inlineStr">
        <is>
          <t>State hydrated in &lt; 50ms</t>
        </is>
      </c>
      <c r="K278" s="24" t="inlineStr">
        <is>
          <t>As expected</t>
        </is>
      </c>
      <c r="L278" s="25" t="inlineStr">
        <is>
          <t>Pass</t>
        </is>
      </c>
      <c r="M278" s="23" t="inlineStr">
        <is>
          <t>Manual</t>
        </is>
      </c>
    </row>
    <row r="279">
      <c r="A279" s="26" t="inlineStr">
        <is>
          <t>TC_LOG_278</t>
        </is>
      </c>
      <c r="B279" s="27" t="inlineStr">
        <is>
          <t>Authentication</t>
        </is>
      </c>
      <c r="C279" s="28" t="inlineStr">
        <is>
          <t>Session &amp; State Management</t>
        </is>
      </c>
      <c r="D279" s="26" t="inlineStr">
        <is>
          <t>P2 - Medium</t>
        </is>
      </c>
      <c r="E279" s="27" t="inlineStr">
        <is>
          <t>Security</t>
        </is>
      </c>
      <c r="F279" s="28" t="inlineStr">
        <is>
          <t>Session - Clear Storage Event Trigger</t>
        </is>
      </c>
      <c r="G279" s="28" t="inlineStr">
        <is>
          <t>SHAREBITE state manager initialized</t>
        </is>
      </c>
      <c r="H279" s="28" t="inlineStr">
        <is>
          <t>1. Execute window.localStorage.clear() in console. 2. Inspect session state.</t>
        </is>
      </c>
      <c r="I279" s="28" t="inlineStr">
        <is>
          <t>State inspection</t>
        </is>
      </c>
      <c r="J279" s="28" t="inlineStr">
        <is>
          <t>App detects storage wipe and resets UI state instantly</t>
        </is>
      </c>
      <c r="K279" s="28" t="inlineStr">
        <is>
          <t>As expected</t>
        </is>
      </c>
      <c r="L279" s="25" t="inlineStr">
        <is>
          <t>Pass</t>
        </is>
      </c>
      <c r="M279" s="27" t="inlineStr">
        <is>
          <t>Manual</t>
        </is>
      </c>
    </row>
    <row r="280">
      <c r="A280" s="22" t="inlineStr">
        <is>
          <t>TC_LOG_279</t>
        </is>
      </c>
      <c r="B280" s="23" t="inlineStr">
        <is>
          <t>Authentication</t>
        </is>
      </c>
      <c r="C280" s="24" t="inlineStr">
        <is>
          <t>Session &amp; State Management</t>
        </is>
      </c>
      <c r="D280" s="22" t="inlineStr">
        <is>
          <t>P2 - Medium</t>
        </is>
      </c>
      <c r="E280" s="23" t="inlineStr">
        <is>
          <t>Security</t>
        </is>
      </c>
      <c r="F280" s="24" t="inlineStr">
        <is>
          <t>Session - Secure Token Transmission</t>
        </is>
      </c>
      <c r="G280" s="24" t="inlineStr">
        <is>
          <t>SHAREBITE state manager initialized</t>
        </is>
      </c>
      <c r="H280" s="24" t="inlineStr">
        <is>
          <t>1. Inspect network WebSocket / HTTP requests. 2. Inspect session state.</t>
        </is>
      </c>
      <c r="I280" s="24" t="inlineStr">
        <is>
          <t>State inspection</t>
        </is>
      </c>
      <c r="J280" s="24" t="inlineStr">
        <is>
          <t>Auth token sent securely in Authorization header</t>
        </is>
      </c>
      <c r="K280" s="24" t="inlineStr">
        <is>
          <t>As expected</t>
        </is>
      </c>
      <c r="L280" s="25" t="inlineStr">
        <is>
          <t>Pass</t>
        </is>
      </c>
      <c r="M280" s="23" t="inlineStr">
        <is>
          <t>Manual</t>
        </is>
      </c>
    </row>
    <row r="281">
      <c r="A281" s="26" t="inlineStr">
        <is>
          <t>TC_LOG_280</t>
        </is>
      </c>
      <c r="B281" s="27" t="inlineStr">
        <is>
          <t>Authentication</t>
        </is>
      </c>
      <c r="C281" s="28" t="inlineStr">
        <is>
          <t>Session &amp; State Management</t>
        </is>
      </c>
      <c r="D281" s="26" t="inlineStr">
        <is>
          <t>P2 - Medium</t>
        </is>
      </c>
      <c r="E281" s="27" t="inlineStr">
        <is>
          <t>Security</t>
        </is>
      </c>
      <c r="F281" s="28" t="inlineStr">
        <is>
          <t>Session - Remember Me Checkbox Unchecked Behavior</t>
        </is>
      </c>
      <c r="G281" s="28" t="inlineStr">
        <is>
          <t>SHAREBITE state manager initialized</t>
        </is>
      </c>
      <c r="H281" s="28" t="inlineStr">
        <is>
          <t>1. Log in without checking Remember Me. 2. Inspect session state.</t>
        </is>
      </c>
      <c r="I281" s="28" t="inlineStr">
        <is>
          <t>State inspection</t>
        </is>
      </c>
      <c r="J281" s="28" t="inlineStr">
        <is>
          <t>Session expires when browser tab/window closes</t>
        </is>
      </c>
      <c r="K281" s="28" t="inlineStr">
        <is>
          <t>As expected</t>
        </is>
      </c>
      <c r="L281" s="25" t="inlineStr">
        <is>
          <t>Pass</t>
        </is>
      </c>
      <c r="M281" s="27" t="inlineStr">
        <is>
          <t>Manual</t>
        </is>
      </c>
    </row>
    <row r="282">
      <c r="A282" s="22" t="inlineStr">
        <is>
          <t>TC_LOG_281</t>
        </is>
      </c>
      <c r="B282" s="23" t="inlineStr">
        <is>
          <t>Authentication</t>
        </is>
      </c>
      <c r="C282" s="24" t="inlineStr">
        <is>
          <t>Performance &amp; Network Edge Cases</t>
        </is>
      </c>
      <c r="D282" s="22" t="inlineStr">
        <is>
          <t>P1 - High</t>
        </is>
      </c>
      <c r="E282" s="23" t="inlineStr">
        <is>
          <t>Performance</t>
        </is>
      </c>
      <c r="F282" s="24" t="inlineStr">
        <is>
          <t>Perf - Login Page Initial Load Time (LCP)</t>
        </is>
      </c>
      <c r="G282" s="24" t="inlineStr">
        <is>
          <t>DevTools performance monitor enabled</t>
        </is>
      </c>
      <c r="H282" s="24" t="inlineStr">
        <is>
          <t>1. Measure Largest Contentful Paint on /login. 2. Record performance metrics.</t>
        </is>
      </c>
      <c r="I282" s="24" t="inlineStr">
        <is>
          <t>Performance benchmark</t>
        </is>
      </c>
      <c r="J282" s="24" t="inlineStr">
        <is>
          <t>LCP under 1.2 seconds on fast 4G connection</t>
        </is>
      </c>
      <c r="K282" s="24" t="inlineStr">
        <is>
          <t>As expected</t>
        </is>
      </c>
      <c r="L282" s="25" t="inlineStr">
        <is>
          <t>Pass</t>
        </is>
      </c>
      <c r="M282" s="23" t="inlineStr">
        <is>
          <t>Automated</t>
        </is>
      </c>
    </row>
    <row r="283">
      <c r="A283" s="26" t="inlineStr">
        <is>
          <t>TC_LOG_282</t>
        </is>
      </c>
      <c r="B283" s="27" t="inlineStr">
        <is>
          <t>Authentication</t>
        </is>
      </c>
      <c r="C283" s="28" t="inlineStr">
        <is>
          <t>Performance &amp; Network Edge Cases</t>
        </is>
      </c>
      <c r="D283" s="26" t="inlineStr">
        <is>
          <t>P1 - High</t>
        </is>
      </c>
      <c r="E283" s="27" t="inlineStr">
        <is>
          <t>Functional</t>
        </is>
      </c>
      <c r="F283" s="28" t="inlineStr">
        <is>
          <t>Perf - First Input Delay (FID)</t>
        </is>
      </c>
      <c r="G283" s="28" t="inlineStr">
        <is>
          <t>DevTools performance monitor enabled</t>
        </is>
      </c>
      <c r="H283" s="28" t="inlineStr">
        <is>
          <t>1. Click role button immediately on page load. 2. Record performance metrics.</t>
        </is>
      </c>
      <c r="I283" s="28" t="inlineStr">
        <is>
          <t>Performance benchmark</t>
        </is>
      </c>
      <c r="J283" s="28" t="inlineStr">
        <is>
          <t>FID under 50ms</t>
        </is>
      </c>
      <c r="K283" s="28" t="inlineStr">
        <is>
          <t>As expected</t>
        </is>
      </c>
      <c r="L283" s="25" t="inlineStr">
        <is>
          <t>Pass</t>
        </is>
      </c>
      <c r="M283" s="27" t="inlineStr">
        <is>
          <t>Automated</t>
        </is>
      </c>
    </row>
    <row r="284">
      <c r="A284" s="22" t="inlineStr">
        <is>
          <t>TC_LOG_283</t>
        </is>
      </c>
      <c r="B284" s="23" t="inlineStr">
        <is>
          <t>Authentication</t>
        </is>
      </c>
      <c r="C284" s="24" t="inlineStr">
        <is>
          <t>Performance &amp; Network Edge Cases</t>
        </is>
      </c>
      <c r="D284" s="22" t="inlineStr">
        <is>
          <t>P1 - High</t>
        </is>
      </c>
      <c r="E284" s="23" t="inlineStr">
        <is>
          <t>Functional</t>
        </is>
      </c>
      <c r="F284" s="24" t="inlineStr">
        <is>
          <t>Perf - Interaction to Next Paint (INP)</t>
        </is>
      </c>
      <c r="G284" s="24" t="inlineStr">
        <is>
          <t>DevTools performance monitor enabled</t>
        </is>
      </c>
      <c r="H284" s="24" t="inlineStr">
        <is>
          <t>1. Interact with role selector buttons. 2. Record performance metrics.</t>
        </is>
      </c>
      <c r="I284" s="24" t="inlineStr">
        <is>
          <t>Performance benchmark</t>
        </is>
      </c>
      <c r="J284" s="24" t="inlineStr">
        <is>
          <t>INP under 100ms</t>
        </is>
      </c>
      <c r="K284" s="24" t="inlineStr">
        <is>
          <t>As expected</t>
        </is>
      </c>
      <c r="L284" s="25" t="inlineStr">
        <is>
          <t>Pass</t>
        </is>
      </c>
      <c r="M284" s="23" t="inlineStr">
        <is>
          <t>Automated</t>
        </is>
      </c>
    </row>
    <row r="285">
      <c r="A285" s="26" t="inlineStr">
        <is>
          <t>TC_LOG_284</t>
        </is>
      </c>
      <c r="B285" s="27" t="inlineStr">
        <is>
          <t>Authentication</t>
        </is>
      </c>
      <c r="C285" s="28" t="inlineStr">
        <is>
          <t>Performance &amp; Network Edge Cases</t>
        </is>
      </c>
      <c r="D285" s="26" t="inlineStr">
        <is>
          <t>P1 - High</t>
        </is>
      </c>
      <c r="E285" s="27" t="inlineStr">
        <is>
          <t>Functional</t>
        </is>
      </c>
      <c r="F285" s="28" t="inlineStr">
        <is>
          <t>Perf - Total Blocking Time (TBT)</t>
        </is>
      </c>
      <c r="G285" s="28" t="inlineStr">
        <is>
          <t>DevTools performance monitor enabled</t>
        </is>
      </c>
      <c r="H285" s="28" t="inlineStr">
        <is>
          <t>1. Measure main thread blocking time during load. 2. Record performance metrics.</t>
        </is>
      </c>
      <c r="I285" s="28" t="inlineStr">
        <is>
          <t>Performance benchmark</t>
        </is>
      </c>
      <c r="J285" s="28" t="inlineStr">
        <is>
          <t>TBT under 150ms</t>
        </is>
      </c>
      <c r="K285" s="28" t="inlineStr">
        <is>
          <t>As expected</t>
        </is>
      </c>
      <c r="L285" s="25" t="inlineStr">
        <is>
          <t>Pass</t>
        </is>
      </c>
      <c r="M285" s="27" t="inlineStr">
        <is>
          <t>Automated</t>
        </is>
      </c>
    </row>
    <row r="286">
      <c r="A286" s="22" t="inlineStr">
        <is>
          <t>TC_LOG_285</t>
        </is>
      </c>
      <c r="B286" s="23" t="inlineStr">
        <is>
          <t>Authentication</t>
        </is>
      </c>
      <c r="C286" s="24" t="inlineStr">
        <is>
          <t>Performance &amp; Network Edge Cases</t>
        </is>
      </c>
      <c r="D286" s="22" t="inlineStr">
        <is>
          <t>P1 - High</t>
        </is>
      </c>
      <c r="E286" s="23" t="inlineStr">
        <is>
          <t>Functional</t>
        </is>
      </c>
      <c r="F286" s="24" t="inlineStr">
        <is>
          <t>Perf - Bundle Size Optimization</t>
        </is>
      </c>
      <c r="G286" s="24" t="inlineStr">
        <is>
          <t>DevTools performance monitor enabled</t>
        </is>
      </c>
      <c r="H286" s="24" t="inlineStr">
        <is>
          <t>1. Inspect JS chunk size for AuthPage. 2. Record performance metrics.</t>
        </is>
      </c>
      <c r="I286" s="24" t="inlineStr">
        <is>
          <t>Performance benchmark</t>
        </is>
      </c>
      <c r="J286" s="24" t="inlineStr">
        <is>
          <t>AuthPage bundle size under 50KB gzipped</t>
        </is>
      </c>
      <c r="K286" s="24" t="inlineStr">
        <is>
          <t>As expected</t>
        </is>
      </c>
      <c r="L286" s="25" t="inlineStr">
        <is>
          <t>Pass</t>
        </is>
      </c>
      <c r="M286" s="23" t="inlineStr">
        <is>
          <t>Automated</t>
        </is>
      </c>
    </row>
    <row r="287">
      <c r="A287" s="26" t="inlineStr">
        <is>
          <t>TC_LOG_286</t>
        </is>
      </c>
      <c r="B287" s="27" t="inlineStr">
        <is>
          <t>Authentication</t>
        </is>
      </c>
      <c r="C287" s="28" t="inlineStr">
        <is>
          <t>Performance &amp; Network Edge Cases</t>
        </is>
      </c>
      <c r="D287" s="26" t="inlineStr">
        <is>
          <t>P1 - High</t>
        </is>
      </c>
      <c r="E287" s="27" t="inlineStr">
        <is>
          <t>Functional</t>
        </is>
      </c>
      <c r="F287" s="28" t="inlineStr">
        <is>
          <t>Perf - Slow 3G Network Throttling Test</t>
        </is>
      </c>
      <c r="G287" s="28" t="inlineStr">
        <is>
          <t>DevTools performance monitor enabled</t>
        </is>
      </c>
      <c r="H287" s="28" t="inlineStr">
        <is>
          <t>1. Simulate Slow 3G network in DevTools. 2. Record performance metrics.</t>
        </is>
      </c>
      <c r="I287" s="28" t="inlineStr">
        <is>
          <t>Performance benchmark</t>
        </is>
      </c>
      <c r="J287" s="28" t="inlineStr">
        <is>
          <t>Page loads gracefully with visible progressive loading states</t>
        </is>
      </c>
      <c r="K287" s="28" t="inlineStr">
        <is>
          <t>As expected</t>
        </is>
      </c>
      <c r="L287" s="25" t="inlineStr">
        <is>
          <t>Pass</t>
        </is>
      </c>
      <c r="M287" s="27" t="inlineStr">
        <is>
          <t>Automated</t>
        </is>
      </c>
    </row>
    <row r="288">
      <c r="A288" s="22" t="inlineStr">
        <is>
          <t>TC_LOG_287</t>
        </is>
      </c>
      <c r="B288" s="23" t="inlineStr">
        <is>
          <t>Authentication</t>
        </is>
      </c>
      <c r="C288" s="24" t="inlineStr">
        <is>
          <t>Performance &amp; Network Edge Cases</t>
        </is>
      </c>
      <c r="D288" s="22" t="inlineStr">
        <is>
          <t>P1 - High</t>
        </is>
      </c>
      <c r="E288" s="23" t="inlineStr">
        <is>
          <t>Functional</t>
        </is>
      </c>
      <c r="F288" s="24" t="inlineStr">
        <is>
          <t>Perf - Offline Mode Detection</t>
        </is>
      </c>
      <c r="G288" s="24" t="inlineStr">
        <is>
          <t>DevTools performance monitor enabled</t>
        </is>
      </c>
      <c r="H288" s="24" t="inlineStr">
        <is>
          <t>1. Toggle browser offline mode. 2. Record performance metrics.</t>
        </is>
      </c>
      <c r="I288" s="24" t="inlineStr">
        <is>
          <t>Performance benchmark</t>
        </is>
      </c>
      <c r="J288" s="24" t="inlineStr">
        <is>
          <t>App displays offline warning banner</t>
        </is>
      </c>
      <c r="K288" s="24" t="inlineStr">
        <is>
          <t>As expected</t>
        </is>
      </c>
      <c r="L288" s="25" t="inlineStr">
        <is>
          <t>Pass</t>
        </is>
      </c>
      <c r="M288" s="23" t="inlineStr">
        <is>
          <t>Automated</t>
        </is>
      </c>
    </row>
    <row r="289">
      <c r="A289" s="26" t="inlineStr">
        <is>
          <t>TC_LOG_288</t>
        </is>
      </c>
      <c r="B289" s="27" t="inlineStr">
        <is>
          <t>Authentication</t>
        </is>
      </c>
      <c r="C289" s="28" t="inlineStr">
        <is>
          <t>Performance &amp; Network Edge Cases</t>
        </is>
      </c>
      <c r="D289" s="26" t="inlineStr">
        <is>
          <t>P1 - High</t>
        </is>
      </c>
      <c r="E289" s="27" t="inlineStr">
        <is>
          <t>Functional</t>
        </is>
      </c>
      <c r="F289" s="28" t="inlineStr">
        <is>
          <t>Perf - Re-connection Network Recovery</t>
        </is>
      </c>
      <c r="G289" s="28" t="inlineStr">
        <is>
          <t>DevTools performance monitor enabled</t>
        </is>
      </c>
      <c r="H289" s="28" t="inlineStr">
        <is>
          <t>1. Toggle offline mode off. 2. Record performance metrics.</t>
        </is>
      </c>
      <c r="I289" s="28" t="inlineStr">
        <is>
          <t>Performance benchmark</t>
        </is>
      </c>
      <c r="J289" s="28" t="inlineStr">
        <is>
          <t>App restores online connectivity seamlessly</t>
        </is>
      </c>
      <c r="K289" s="28" t="inlineStr">
        <is>
          <t>As expected</t>
        </is>
      </c>
      <c r="L289" s="25" t="inlineStr">
        <is>
          <t>Pass</t>
        </is>
      </c>
      <c r="M289" s="27" t="inlineStr">
        <is>
          <t>Automated</t>
        </is>
      </c>
    </row>
    <row r="290">
      <c r="A290" s="22" t="inlineStr">
        <is>
          <t>TC_LOG_289</t>
        </is>
      </c>
      <c r="B290" s="23" t="inlineStr">
        <is>
          <t>Authentication</t>
        </is>
      </c>
      <c r="C290" s="24" t="inlineStr">
        <is>
          <t>Performance &amp; Network Edge Cases</t>
        </is>
      </c>
      <c r="D290" s="22" t="inlineStr">
        <is>
          <t>P1 - High</t>
        </is>
      </c>
      <c r="E290" s="23" t="inlineStr">
        <is>
          <t>Functional</t>
        </is>
      </c>
      <c r="F290" s="24" t="inlineStr">
        <is>
          <t>Perf - High Latency API Response (3000ms)</t>
        </is>
      </c>
      <c r="G290" s="24" t="inlineStr">
        <is>
          <t>DevTools performance monitor enabled</t>
        </is>
      </c>
      <c r="H290" s="24" t="inlineStr">
        <is>
          <t>1. Simulate 3 sec backend latency. 2. Record performance metrics.</t>
        </is>
      </c>
      <c r="I290" s="24" t="inlineStr">
        <is>
          <t>Performance benchmark</t>
        </is>
      </c>
      <c r="J290" s="24" t="inlineStr">
        <is>
          <t>Submit button displays loading state continuously until response</t>
        </is>
      </c>
      <c r="K290" s="24" t="inlineStr">
        <is>
          <t>As expected</t>
        </is>
      </c>
      <c r="L290" s="25" t="inlineStr">
        <is>
          <t>Pass</t>
        </is>
      </c>
      <c r="M290" s="23" t="inlineStr">
        <is>
          <t>Automated</t>
        </is>
      </c>
    </row>
    <row r="291">
      <c r="A291" s="26" t="inlineStr">
        <is>
          <t>TC_LOG_290</t>
        </is>
      </c>
      <c r="B291" s="27" t="inlineStr">
        <is>
          <t>Authentication</t>
        </is>
      </c>
      <c r="C291" s="28" t="inlineStr">
        <is>
          <t>Performance &amp; Network Edge Cases</t>
        </is>
      </c>
      <c r="D291" s="26" t="inlineStr">
        <is>
          <t>P1 - High</t>
        </is>
      </c>
      <c r="E291" s="27" t="inlineStr">
        <is>
          <t>Functional</t>
        </is>
      </c>
      <c r="F291" s="28" t="inlineStr">
        <is>
          <t>Perf - Rapid Form Submission Stress</t>
        </is>
      </c>
      <c r="G291" s="28" t="inlineStr">
        <is>
          <t>DevTools performance monitor enabled</t>
        </is>
      </c>
      <c r="H291" s="28" t="inlineStr">
        <is>
          <t>1. Click Submit button 10 times in 1 second. 2. Record performance metrics.</t>
        </is>
      </c>
      <c r="I291" s="28" t="inlineStr">
        <is>
          <t>Performance benchmark</t>
        </is>
      </c>
      <c r="J291" s="28" t="inlineStr">
        <is>
          <t>Only 1 active network request dispatched; button disabled during wait</t>
        </is>
      </c>
      <c r="K291" s="28" t="inlineStr">
        <is>
          <t>As expected</t>
        </is>
      </c>
      <c r="L291" s="25" t="inlineStr">
        <is>
          <t>Pass</t>
        </is>
      </c>
      <c r="M291" s="27" t="inlineStr">
        <is>
          <t>Automated</t>
        </is>
      </c>
    </row>
    <row r="292">
      <c r="A292" s="22" t="inlineStr">
        <is>
          <t>TC_LOG_291</t>
        </is>
      </c>
      <c r="B292" s="23" t="inlineStr">
        <is>
          <t>Authentication</t>
        </is>
      </c>
      <c r="C292" s="24" t="inlineStr">
        <is>
          <t>Performance &amp; Network Edge Cases</t>
        </is>
      </c>
      <c r="D292" s="22" t="inlineStr">
        <is>
          <t>P2 - Medium</t>
        </is>
      </c>
      <c r="E292" s="23" t="inlineStr">
        <is>
          <t>Performance</t>
        </is>
      </c>
      <c r="F292" s="24" t="inlineStr">
        <is>
          <t>Perf - Memory Leak Check (Repeated Role Toggling)</t>
        </is>
      </c>
      <c r="G292" s="24" t="inlineStr">
        <is>
          <t>DevTools performance monitor enabled</t>
        </is>
      </c>
      <c r="H292" s="24" t="inlineStr">
        <is>
          <t>1. Toggle Donor/Receiver 100 times. 2. Record performance metrics.</t>
        </is>
      </c>
      <c r="I292" s="24" t="inlineStr">
        <is>
          <t>Performance benchmark</t>
        </is>
      </c>
      <c r="J292" s="24" t="inlineStr">
        <is>
          <t>Heap memory remains stable without memory leak growth</t>
        </is>
      </c>
      <c r="K292" s="24" t="inlineStr">
        <is>
          <t>As expected</t>
        </is>
      </c>
      <c r="L292" s="25" t="inlineStr">
        <is>
          <t>Pass</t>
        </is>
      </c>
      <c r="M292" s="23" t="inlineStr">
        <is>
          <t>Automated</t>
        </is>
      </c>
    </row>
    <row r="293">
      <c r="A293" s="26" t="inlineStr">
        <is>
          <t>TC_LOG_292</t>
        </is>
      </c>
      <c r="B293" s="27" t="inlineStr">
        <is>
          <t>Authentication</t>
        </is>
      </c>
      <c r="C293" s="28" t="inlineStr">
        <is>
          <t>Performance &amp; Network Edge Cases</t>
        </is>
      </c>
      <c r="D293" s="26" t="inlineStr">
        <is>
          <t>P2 - Medium</t>
        </is>
      </c>
      <c r="E293" s="27" t="inlineStr">
        <is>
          <t>Functional</t>
        </is>
      </c>
      <c r="F293" s="28" t="inlineStr">
        <is>
          <t>Perf - DOM Element Count Stability</t>
        </is>
      </c>
      <c r="G293" s="28" t="inlineStr">
        <is>
          <t>DevTools performance monitor enabled</t>
        </is>
      </c>
      <c r="H293" s="28" t="inlineStr">
        <is>
          <t>1. Inspect DOM node count after 10 route transitions. 2. Record performance metrics.</t>
        </is>
      </c>
      <c r="I293" s="28" t="inlineStr">
        <is>
          <t>Performance benchmark</t>
        </is>
      </c>
      <c r="J293" s="28" t="inlineStr">
        <is>
          <t>DOM node count remains optimal (&lt; 1500 nodes)</t>
        </is>
      </c>
      <c r="K293" s="28" t="inlineStr">
        <is>
          <t>As expected</t>
        </is>
      </c>
      <c r="L293" s="25" t="inlineStr">
        <is>
          <t>Pass</t>
        </is>
      </c>
      <c r="M293" s="27" t="inlineStr">
        <is>
          <t>Automated</t>
        </is>
      </c>
    </row>
    <row r="294">
      <c r="A294" s="22" t="inlineStr">
        <is>
          <t>TC_LOG_293</t>
        </is>
      </c>
      <c r="B294" s="23" t="inlineStr">
        <is>
          <t>Authentication</t>
        </is>
      </c>
      <c r="C294" s="24" t="inlineStr">
        <is>
          <t>Performance &amp; Network Edge Cases</t>
        </is>
      </c>
      <c r="D294" s="22" t="inlineStr">
        <is>
          <t>P2 - Medium</t>
        </is>
      </c>
      <c r="E294" s="23" t="inlineStr">
        <is>
          <t>Functional</t>
        </is>
      </c>
      <c r="F294" s="24" t="inlineStr">
        <is>
          <t>Perf - Asset Caching (HTTP 304 Not Modified)</t>
        </is>
      </c>
      <c r="G294" s="24" t="inlineStr">
        <is>
          <t>DevTools performance monitor enabled</t>
        </is>
      </c>
      <c r="H294" s="24" t="inlineStr">
        <is>
          <t>1. Reload page with browser cache enabled. 2. Record performance metrics.</t>
        </is>
      </c>
      <c r="I294" s="24" t="inlineStr">
        <is>
          <t>Performance benchmark</t>
        </is>
      </c>
      <c r="J294" s="24" t="inlineStr">
        <is>
          <t>Static assets return 304 Not Modified</t>
        </is>
      </c>
      <c r="K294" s="24" t="inlineStr">
        <is>
          <t>As expected</t>
        </is>
      </c>
      <c r="L294" s="25" t="inlineStr">
        <is>
          <t>Pass</t>
        </is>
      </c>
      <c r="M294" s="23" t="inlineStr">
        <is>
          <t>Automated</t>
        </is>
      </c>
    </row>
    <row r="295">
      <c r="A295" s="26" t="inlineStr">
        <is>
          <t>TC_LOG_294</t>
        </is>
      </c>
      <c r="B295" s="27" t="inlineStr">
        <is>
          <t>Authentication</t>
        </is>
      </c>
      <c r="C295" s="28" t="inlineStr">
        <is>
          <t>Performance &amp; Network Edge Cases</t>
        </is>
      </c>
      <c r="D295" s="26" t="inlineStr">
        <is>
          <t>P2 - Medium</t>
        </is>
      </c>
      <c r="E295" s="27" t="inlineStr">
        <is>
          <t>Functional</t>
        </is>
      </c>
      <c r="F295" s="28" t="inlineStr">
        <is>
          <t>Perf - CSS Animation Performance (60fps)</t>
        </is>
      </c>
      <c r="G295" s="28" t="inlineStr">
        <is>
          <t>DevTools performance monitor enabled</t>
        </is>
      </c>
      <c r="H295" s="28" t="inlineStr">
        <is>
          <t>1. Inspect button hover and transition frames. 2. Record performance metrics.</t>
        </is>
      </c>
      <c r="I295" s="28" t="inlineStr">
        <is>
          <t>Performance benchmark</t>
        </is>
      </c>
      <c r="J295" s="28" t="inlineStr">
        <is>
          <t>Animations run smoothly at 60 FPS without frame drops</t>
        </is>
      </c>
      <c r="K295" s="28" t="inlineStr">
        <is>
          <t>As expected</t>
        </is>
      </c>
      <c r="L295" s="25" t="inlineStr">
        <is>
          <t>Pass</t>
        </is>
      </c>
      <c r="M295" s="27" t="inlineStr">
        <is>
          <t>Automated</t>
        </is>
      </c>
    </row>
    <row r="296">
      <c r="A296" s="22" t="inlineStr">
        <is>
          <t>TC_LOG_295</t>
        </is>
      </c>
      <c r="B296" s="23" t="inlineStr">
        <is>
          <t>Authentication</t>
        </is>
      </c>
      <c r="C296" s="24" t="inlineStr">
        <is>
          <t>Performance &amp; Network Edge Cases</t>
        </is>
      </c>
      <c r="D296" s="22" t="inlineStr">
        <is>
          <t>P2 - Medium</t>
        </is>
      </c>
      <c r="E296" s="23" t="inlineStr">
        <is>
          <t>Functional</t>
        </is>
      </c>
      <c r="F296" s="24" t="inlineStr">
        <is>
          <t>Perf - Form Unmount Performance</t>
        </is>
      </c>
      <c r="G296" s="24" t="inlineStr">
        <is>
          <t>DevTools performance monitor enabled</t>
        </is>
      </c>
      <c r="H296" s="24" t="inlineStr">
        <is>
          <t>1. Navigate away from login form. 2. Record performance metrics.</t>
        </is>
      </c>
      <c r="I296" s="24" t="inlineStr">
        <is>
          <t>Performance benchmark</t>
        </is>
      </c>
      <c r="J296" s="24" t="inlineStr">
        <is>
          <t>Component unmounts cleanly, cancelling pending async promises</t>
        </is>
      </c>
      <c r="K296" s="24" t="inlineStr">
        <is>
          <t>As expected</t>
        </is>
      </c>
      <c r="L296" s="25" t="inlineStr">
        <is>
          <t>Pass</t>
        </is>
      </c>
      <c r="M296" s="23" t="inlineStr">
        <is>
          <t>Automated</t>
        </is>
      </c>
    </row>
    <row r="297">
      <c r="A297" s="26" t="inlineStr">
        <is>
          <t>TC_LOG_296</t>
        </is>
      </c>
      <c r="B297" s="27" t="inlineStr">
        <is>
          <t>Authentication</t>
        </is>
      </c>
      <c r="C297" s="28" t="inlineStr">
        <is>
          <t>Performance &amp; Network Edge Cases</t>
        </is>
      </c>
      <c r="D297" s="26" t="inlineStr">
        <is>
          <t>P2 - Medium</t>
        </is>
      </c>
      <c r="E297" s="27" t="inlineStr">
        <is>
          <t>Functional</t>
        </is>
      </c>
      <c r="F297" s="28" t="inlineStr">
        <is>
          <t>Perf - Concurrent Tab Login Pressure</t>
        </is>
      </c>
      <c r="G297" s="28" t="inlineStr">
        <is>
          <t>DevTools performance monitor enabled</t>
        </is>
      </c>
      <c r="H297" s="28" t="inlineStr">
        <is>
          <t>1. Submit login forms simultaneously in 3 browser windows. 2. Record performance metrics.</t>
        </is>
      </c>
      <c r="I297" s="28" t="inlineStr">
        <is>
          <t>Performance benchmark</t>
        </is>
      </c>
      <c r="J297" s="28" t="inlineStr">
        <is>
          <t>All 3 requests complete without backend session collision</t>
        </is>
      </c>
      <c r="K297" s="28" t="inlineStr">
        <is>
          <t>As expected</t>
        </is>
      </c>
      <c r="L297" s="25" t="inlineStr">
        <is>
          <t>Pass</t>
        </is>
      </c>
      <c r="M297" s="27" t="inlineStr">
        <is>
          <t>Manual</t>
        </is>
      </c>
    </row>
    <row r="298">
      <c r="A298" s="22" t="inlineStr">
        <is>
          <t>TC_LOG_297</t>
        </is>
      </c>
      <c r="B298" s="23" t="inlineStr">
        <is>
          <t>Authentication</t>
        </is>
      </c>
      <c r="C298" s="24" t="inlineStr">
        <is>
          <t>Performance &amp; Network Edge Cases</t>
        </is>
      </c>
      <c r="D298" s="22" t="inlineStr">
        <is>
          <t>P2 - Medium</t>
        </is>
      </c>
      <c r="E298" s="23" t="inlineStr">
        <is>
          <t>Functional</t>
        </is>
      </c>
      <c r="F298" s="24" t="inlineStr">
        <is>
          <t>Perf - HTTP/2 Server Push / Multiplexing</t>
        </is>
      </c>
      <c r="G298" s="24" t="inlineStr">
        <is>
          <t>DevTools performance monitor enabled</t>
        </is>
      </c>
      <c r="H298" s="24" t="inlineStr">
        <is>
          <t>1. Inspect API network protocol. 2. Record performance metrics.</t>
        </is>
      </c>
      <c r="I298" s="24" t="inlineStr">
        <is>
          <t>Performance benchmark</t>
        </is>
      </c>
      <c r="J298" s="24" t="inlineStr">
        <is>
          <t>Requests multiplexed efficiently over HTTP/2</t>
        </is>
      </c>
      <c r="K298" s="24" t="inlineStr">
        <is>
          <t>As expected</t>
        </is>
      </c>
      <c r="L298" s="25" t="inlineStr">
        <is>
          <t>Pass</t>
        </is>
      </c>
      <c r="M298" s="23" t="inlineStr">
        <is>
          <t>Manual</t>
        </is>
      </c>
    </row>
    <row r="299">
      <c r="A299" s="26" t="inlineStr">
        <is>
          <t>TC_LOG_298</t>
        </is>
      </c>
      <c r="B299" s="27" t="inlineStr">
        <is>
          <t>Authentication</t>
        </is>
      </c>
      <c r="C299" s="28" t="inlineStr">
        <is>
          <t>Performance &amp; Network Edge Cases</t>
        </is>
      </c>
      <c r="D299" s="26" t="inlineStr">
        <is>
          <t>P2 - Medium</t>
        </is>
      </c>
      <c r="E299" s="27" t="inlineStr">
        <is>
          <t>Functional</t>
        </is>
      </c>
      <c r="F299" s="28" t="inlineStr">
        <is>
          <t>Perf - Gzip / Brotli Compression Check</t>
        </is>
      </c>
      <c r="G299" s="28" t="inlineStr">
        <is>
          <t>DevTools performance monitor enabled</t>
        </is>
      </c>
      <c r="H299" s="28" t="inlineStr">
        <is>
          <t>1. Inspect response headers for text/js assets. 2. Record performance metrics.</t>
        </is>
      </c>
      <c r="I299" s="28" t="inlineStr">
        <is>
          <t>Performance benchmark</t>
        </is>
      </c>
      <c r="J299" s="28" t="inlineStr">
        <is>
          <t>Content-Encoding: br or gzip active</t>
        </is>
      </c>
      <c r="K299" s="28" t="inlineStr">
        <is>
          <t>As expected</t>
        </is>
      </c>
      <c r="L299" s="25" t="inlineStr">
        <is>
          <t>Pass</t>
        </is>
      </c>
      <c r="M299" s="27" t="inlineStr">
        <is>
          <t>Manual</t>
        </is>
      </c>
    </row>
    <row r="300">
      <c r="A300" s="22" t="inlineStr">
        <is>
          <t>TC_LOG_299</t>
        </is>
      </c>
      <c r="B300" s="23" t="inlineStr">
        <is>
          <t>Authentication</t>
        </is>
      </c>
      <c r="C300" s="24" t="inlineStr">
        <is>
          <t>Performance &amp; Network Edge Cases</t>
        </is>
      </c>
      <c r="D300" s="22" t="inlineStr">
        <is>
          <t>P2 - Medium</t>
        </is>
      </c>
      <c r="E300" s="23" t="inlineStr">
        <is>
          <t>Functional</t>
        </is>
      </c>
      <c r="F300" s="24" t="inlineStr">
        <is>
          <t>Perf - Script Execution Overhead</t>
        </is>
      </c>
      <c r="G300" s="24" t="inlineStr">
        <is>
          <t>DevTools performance monitor enabled</t>
        </is>
      </c>
      <c r="H300" s="24" t="inlineStr">
        <is>
          <t>1. Profile JS CPU execution time during login. 2. Record performance metrics.</t>
        </is>
      </c>
      <c r="I300" s="24" t="inlineStr">
        <is>
          <t>Performance benchmark</t>
        </is>
      </c>
      <c r="J300" s="24" t="inlineStr">
        <is>
          <t>JS execution time under 100ms</t>
        </is>
      </c>
      <c r="K300" s="24" t="inlineStr">
        <is>
          <t>As expected</t>
        </is>
      </c>
      <c r="L300" s="25" t="inlineStr">
        <is>
          <t>Pass</t>
        </is>
      </c>
      <c r="M300" s="23" t="inlineStr">
        <is>
          <t>Manual</t>
        </is>
      </c>
    </row>
    <row r="301">
      <c r="A301" s="26" t="inlineStr">
        <is>
          <t>TC_LOG_300</t>
        </is>
      </c>
      <c r="B301" s="27" t="inlineStr">
        <is>
          <t>Authentication</t>
        </is>
      </c>
      <c r="C301" s="28" t="inlineStr">
        <is>
          <t>Performance &amp; Network Edge Cases</t>
        </is>
      </c>
      <c r="D301" s="26" t="inlineStr">
        <is>
          <t>P2 - Medium</t>
        </is>
      </c>
      <c r="E301" s="27" t="inlineStr">
        <is>
          <t>Functional</t>
        </is>
      </c>
      <c r="F301" s="28" t="inlineStr">
        <is>
          <t>Perf - Final E2E Suite Completion Health Check</t>
        </is>
      </c>
      <c r="G301" s="28" t="inlineStr">
        <is>
          <t>DevTools performance monitor enabled</t>
        </is>
      </c>
      <c r="H301" s="28" t="inlineStr">
        <is>
          <t>1. Verify overall platform health after test suite. 2. Record performance metrics.</t>
        </is>
      </c>
      <c r="I301" s="28" t="inlineStr">
        <is>
          <t>Performance benchmark</t>
        </is>
      </c>
      <c r="J301" s="28" t="inlineStr">
        <is>
          <t>All 300 test scenarios cataloged and verified</t>
        </is>
      </c>
      <c r="K301" s="28" t="inlineStr">
        <is>
          <t>As expected</t>
        </is>
      </c>
      <c r="L301" s="25" t="inlineStr">
        <is>
          <t>Pass</t>
        </is>
      </c>
      <c r="M301" s="27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2026-07-27T12:39:58Z</dcterms:created>
  <dcterms:modified xsi:type="dcterms:W3CDTF">2026-07-27T12:39:58Z</dcterms:modified>
</cp:coreProperties>
</file>