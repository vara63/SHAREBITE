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1E293B"/>
      <sz val="20"/>
    </font>
    <font>
      <name val="Calibri"/>
      <b val="1"/>
      <color rgb="000F172A"/>
      <sz val="12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b val="1"/>
      <color rgb="00166534"/>
      <sz val="10"/>
    </font>
    <font>
      <name val="Calibri"/>
      <color rgb="001E293B"/>
      <sz val="10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3E8FF"/>
        <bgColor rgb="00F3E8FF"/>
      </patternFill>
    </fill>
    <fill>
      <patternFill patternType="solid">
        <fgColor rgb="004338CA"/>
        <bgColor rgb="004338CA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medium">
        <color rgb="006366F1"/>
      </left>
      <right style="medium">
        <color rgb="006366F1"/>
      </right>
      <top style="medium">
        <color rgb="006366F1"/>
      </top>
      <bottom style="medium">
        <color rgb="006366F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4" fillId="0" borderId="0" pivotButton="0" quotePrefix="0" xfId="0"/>
    <xf numFmtId="0" fontId="5" fillId="8" borderId="2" applyAlignment="1" pivotButton="0" quotePrefix="0" xfId="0">
      <alignment horizontal="center" vertical="center"/>
    </xf>
    <xf numFmtId="0" fontId="6" fillId="0" borderId="2" pivotButton="0" quotePrefix="0" xfId="0"/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right" vertical="center"/>
    </xf>
    <xf numFmtId="0" fontId="6" fillId="9" borderId="2" pivotButton="0" quotePrefix="0" xfId="0"/>
    <xf numFmtId="0" fontId="6" fillId="9" borderId="2" applyAlignment="1" pivotButton="0" quotePrefix="0" xfId="0">
      <alignment horizontal="center" vertical="center"/>
    </xf>
    <xf numFmtId="164" fontId="6" fillId="9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16" customWidth="1" min="5" max="5"/>
    <col width="4" customWidth="1" min="6" max="6"/>
    <col width="38" customWidth="1" min="7" max="7"/>
    <col width="14" customWidth="1" min="8" max="8"/>
    <col width="14" customWidth="1" min="9" max="9"/>
    <col width="14" customWidth="1" min="10" max="10"/>
    <col width="16" customWidth="1" min="11" max="11"/>
  </cols>
  <sheetData>
    <row r="2">
      <c r="B2" s="1" t="inlineStr">
        <is>
          <t>SHAREBITE APPIUM MOBILE E2E TEST SUITE - EXECUTIVE SUMMARY REPORT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B4" s="3" t="inlineStr">
        <is>
          <t>Target Application: SHAREBITE Mobile App (dev.sharebite.app) | Generated Test Cases: 300 | Status: 100% APPROVED / PASSED</t>
        </is>
      </c>
    </row>
    <row r="6">
      <c r="B6" s="4" t="inlineStr">
        <is>
          <t>TOTAL TEST CASES
=COUNTA('Test Details'!A2:A301)</t>
        </is>
      </c>
      <c r="C6" s="5" t="n"/>
      <c r="D6" s="6" t="inlineStr">
        <is>
          <t>PASSED / APPROVED
=COUNTIF('Test Details'!L2:L301, "Pass")</t>
        </is>
      </c>
      <c r="E6" s="7" t="n"/>
      <c r="F6" s="8" t="inlineStr">
        <is>
          <t>FAILED TESTS
=COUNTIF('Test Details'!L2:L301, "Fail")</t>
        </is>
      </c>
      <c r="G6" s="9" t="n"/>
      <c r="H6" s="10" t="inlineStr">
        <is>
          <t>PENDING TESTS
=COUNTIF('Test Details'!L2:L301, "Pending")</t>
        </is>
      </c>
      <c r="I6" s="11" t="n"/>
      <c r="J6" s="12" t="inlineStr">
        <is>
          <t>AUTOMATED COVERAGE
=COUNTIF('Test Details'!M2:M301, "Automated")/COUNTA('Test Details'!A2:A301)</t>
        </is>
      </c>
      <c r="K6" s="13" t="n"/>
    </row>
    <row r="7">
      <c r="B7" s="5" t="n"/>
      <c r="C7" s="5" t="n"/>
      <c r="D7" s="7" t="n"/>
      <c r="E7" s="7" t="n"/>
      <c r="F7" s="9" t="n"/>
      <c r="G7" s="9" t="n"/>
      <c r="H7" s="11" t="n"/>
      <c r="I7" s="11" t="n"/>
      <c r="J7" s="13" t="n"/>
      <c r="K7" s="13" t="n"/>
    </row>
    <row r="9">
      <c r="B9" s="14" t="inlineStr">
        <is>
          <t>BREAKDOWN BY PRIORITY</t>
        </is>
      </c>
      <c r="G9" s="14" t="inlineStr">
        <is>
          <t>BREAKDOWN BY MOBILE TEST CATEGORY</t>
        </is>
      </c>
    </row>
    <row r="10">
      <c r="B10" s="15" t="inlineStr">
        <is>
          <t>Priority Level</t>
        </is>
      </c>
      <c r="C10" s="15" t="inlineStr">
        <is>
          <t>Total Count</t>
        </is>
      </c>
      <c r="D10" s="15" t="inlineStr">
        <is>
          <t>Pass Count</t>
        </is>
      </c>
      <c r="E10" s="15" t="inlineStr">
        <is>
          <t>Pass Rate (%)</t>
        </is>
      </c>
      <c r="G10" s="15" t="inlineStr">
        <is>
          <t>Mobile Test Category</t>
        </is>
      </c>
      <c r="H10" s="15" t="inlineStr">
        <is>
          <t>Total Cases</t>
        </is>
      </c>
      <c r="I10" s="15" t="inlineStr">
        <is>
          <t>Automated</t>
        </is>
      </c>
      <c r="J10" s="15" t="inlineStr">
        <is>
          <t>Manual</t>
        </is>
      </c>
      <c r="K10" s="15" t="inlineStr">
        <is>
          <t>Pass Rate (%)</t>
        </is>
      </c>
    </row>
    <row r="11">
      <c r="B11" s="16" t="inlineStr">
        <is>
          <t>P0 - Critical</t>
        </is>
      </c>
      <c r="C11" s="17">
        <f>COUNTIF('Test Details'!D2:D301, "P0 - Critical")</f>
        <v/>
      </c>
      <c r="D11" s="17">
        <f>COUNTIFS('Test Details'!D2:D301, "P0 - Critical", 'Test Details'!L2:L301, "Pass")</f>
        <v/>
      </c>
      <c r="E11" s="18">
        <f>D11/C11</f>
        <v/>
      </c>
      <c r="G11" s="16" t="inlineStr">
        <is>
          <t>App Lifecycle &amp; Installation</t>
        </is>
      </c>
      <c r="H11" s="17">
        <f>COUNTIF('Test Details'!C2:C301, "App Lifecycle &amp; Installation")</f>
        <v/>
      </c>
      <c r="I11" s="17">
        <f>COUNTIFS('Test Details'!C2:C301, "App Lifecycle &amp; Installation", 'Test Details'!M2:M301, "Automated")</f>
        <v/>
      </c>
      <c r="J11" s="17">
        <f>COUNTIFS('Test Details'!C2:C301, "App Lifecycle &amp; Installation", 'Test Details'!M2:M301, "Manual")</f>
        <v/>
      </c>
      <c r="K11" s="18">
        <f>COUNTIFS('Test Details'!C2:C301, "App Lifecycle &amp; Installation", 'Test Details'!L2:L301, "Pass")/H11</f>
        <v/>
      </c>
    </row>
    <row r="12">
      <c r="B12" s="16" t="inlineStr">
        <is>
          <t>P1 - High</t>
        </is>
      </c>
      <c r="C12" s="17">
        <f>COUNTIF('Test Details'!D2:D301, "P1 - High")</f>
        <v/>
      </c>
      <c r="D12" s="17">
        <f>COUNTIFS('Test Details'!D2:D301, "P1 - High", 'Test Details'!L2:L301, "Pass")</f>
        <v/>
      </c>
      <c r="E12" s="18">
        <f>D12/C12</f>
        <v/>
      </c>
      <c r="G12" s="16" t="inlineStr">
        <is>
          <t>Mobile Auth &amp; Role Toggling</t>
        </is>
      </c>
      <c r="H12" s="17">
        <f>COUNTIF('Test Details'!C2:C301, "Mobile Auth &amp; Role Toggling")</f>
        <v/>
      </c>
      <c r="I12" s="17">
        <f>COUNTIFS('Test Details'!C2:C301, "Mobile Auth &amp; Role Toggling", 'Test Details'!M2:M301, "Automated")</f>
        <v/>
      </c>
      <c r="J12" s="17">
        <f>COUNTIFS('Test Details'!C2:C301, "Mobile Auth &amp; Role Toggling", 'Test Details'!M2:M301, "Manual")</f>
        <v/>
      </c>
      <c r="K12" s="18">
        <f>COUNTIFS('Test Details'!C2:C301, "Mobile Auth &amp; Role Toggling", 'Test Details'!L2:L301, "Pass")/H12</f>
        <v/>
      </c>
    </row>
    <row r="13">
      <c r="B13" s="16" t="inlineStr">
        <is>
          <t>P2 - Medium</t>
        </is>
      </c>
      <c r="C13" s="17">
        <f>COUNTIF('Test Details'!D2:D301, "P2 - Medium")</f>
        <v/>
      </c>
      <c r="D13" s="17">
        <f>COUNTIFS('Test Details'!D2:D301, "P2 - Medium", 'Test Details'!L2:L301, "Pass")</f>
        <v/>
      </c>
      <c r="E13" s="18">
        <f>D13/C13</f>
        <v/>
      </c>
      <c r="G13" s="16" t="inlineStr">
        <is>
          <t>Native &amp; Hybrid Context Switching</t>
        </is>
      </c>
      <c r="H13" s="17">
        <f>COUNTIF('Test Details'!C2:C301, "Native &amp; Hybrid Context Switching")</f>
        <v/>
      </c>
      <c r="I13" s="17">
        <f>COUNTIFS('Test Details'!C2:C301, "Native &amp; Hybrid Context Switching", 'Test Details'!M2:M301, "Automated")</f>
        <v/>
      </c>
      <c r="J13" s="17">
        <f>COUNTIFS('Test Details'!C2:C301, "Native &amp; Hybrid Context Switching", 'Test Details'!M2:M301, "Manual")</f>
        <v/>
      </c>
      <c r="K13" s="18">
        <f>COUNTIFS('Test Details'!C2:C301, "Native &amp; Hybrid Context Switching", 'Test Details'!L2:L301, "Pass")/H13</f>
        <v/>
      </c>
    </row>
    <row r="14">
      <c r="B14" s="16" t="inlineStr">
        <is>
          <t>P3 - Low</t>
        </is>
      </c>
      <c r="C14" s="17">
        <f>COUNTIF('Test Details'!D2:D301, "P3 - Low")</f>
        <v/>
      </c>
      <c r="D14" s="17">
        <f>COUNTIFS('Test Details'!D2:D301, "P3 - Low", 'Test Details'!L2:L301, "Pass")</f>
        <v/>
      </c>
      <c r="E14" s="18">
        <f>D14/C14</f>
        <v/>
      </c>
      <c r="G14" s="16" t="inlineStr">
        <is>
          <t>Touch Gestures &amp; Navigation</t>
        </is>
      </c>
      <c r="H14" s="17">
        <f>COUNTIF('Test Details'!C2:C301, "Touch Gestures &amp; Navigation")</f>
        <v/>
      </c>
      <c r="I14" s="17">
        <f>COUNTIFS('Test Details'!C2:C301, "Touch Gestures &amp; Navigation", 'Test Details'!M2:M301, "Automated")</f>
        <v/>
      </c>
      <c r="J14" s="17">
        <f>COUNTIFS('Test Details'!C2:C301, "Touch Gestures &amp; Navigation", 'Test Details'!M2:M301, "Manual")</f>
        <v/>
      </c>
      <c r="K14" s="18">
        <f>COUNTIFS('Test Details'!C2:C301, "Touch Gestures &amp; Navigation", 'Test Details'!L2:L301, "Pass")/H14</f>
        <v/>
      </c>
    </row>
    <row r="15">
      <c r="B15" s="19" t="inlineStr">
        <is>
          <t>Total</t>
        </is>
      </c>
      <c r="C15" s="20">
        <f>SUM(C11:C14)</f>
        <v/>
      </c>
      <c r="D15" s="20">
        <f>SUM(D11:D14)</f>
        <v/>
      </c>
      <c r="E15" s="21">
        <f>D15/C15</f>
        <v/>
      </c>
      <c r="G15" s="16" t="inlineStr">
        <is>
          <t>Device Permissions &amp; Media</t>
        </is>
      </c>
      <c r="H15" s="17">
        <f>COUNTIF('Test Details'!C2:C301, "Device Permissions &amp; Media")</f>
        <v/>
      </c>
      <c r="I15" s="17">
        <f>COUNTIFS('Test Details'!C2:C301, "Device Permissions &amp; Media", 'Test Details'!M2:M301, "Automated")</f>
        <v/>
      </c>
      <c r="J15" s="17">
        <f>COUNTIFS('Test Details'!C2:C301, "Device Permissions &amp; Media", 'Test Details'!M2:M301, "Manual")</f>
        <v/>
      </c>
      <c r="K15" s="18">
        <f>COUNTIFS('Test Details'!C2:C301, "Device Permissions &amp; Media", 'Test Details'!L2:L301, "Pass")/H15</f>
        <v/>
      </c>
    </row>
    <row r="16">
      <c r="G16" s="16" t="inlineStr">
        <is>
          <t>Push Notifications &amp; Deep Links</t>
        </is>
      </c>
      <c r="H16" s="17">
        <f>COUNTIF('Test Details'!C2:C301, "Push Notifications &amp; Deep Links")</f>
        <v/>
      </c>
      <c r="I16" s="17">
        <f>COUNTIFS('Test Details'!C2:C301, "Push Notifications &amp; Deep Links", 'Test Details'!M2:M301, "Automated")</f>
        <v/>
      </c>
      <c r="J16" s="17">
        <f>COUNTIFS('Test Details'!C2:C301, "Push Notifications &amp; Deep Links", 'Test Details'!M2:M301, "Manual")</f>
        <v/>
      </c>
      <c r="K16" s="18">
        <f>COUNTIFS('Test Details'!C2:C301, "Push Notifications &amp; Deep Links", 'Test Details'!L2:L301, "Pass")/H16</f>
        <v/>
      </c>
    </row>
    <row r="17">
      <c r="G17" s="16" t="inlineStr">
        <is>
          <t>Screen Orientation &amp; Responsive UI</t>
        </is>
      </c>
      <c r="H17" s="17">
        <f>COUNTIF('Test Details'!C2:C301, "Screen Orientation &amp; Responsive UI")</f>
        <v/>
      </c>
      <c r="I17" s="17">
        <f>COUNTIFS('Test Details'!C2:C301, "Screen Orientation &amp; Responsive UI", 'Test Details'!M2:M301, "Automated")</f>
        <v/>
      </c>
      <c r="J17" s="17">
        <f>COUNTIFS('Test Details'!C2:C301, "Screen Orientation &amp; Responsive UI", 'Test Details'!M2:M301, "Manual")</f>
        <v/>
      </c>
      <c r="K17" s="18">
        <f>COUNTIFS('Test Details'!C2:C301, "Screen Orientation &amp; Responsive UI", 'Test Details'!L2:L301, "Pass")/H17</f>
        <v/>
      </c>
    </row>
    <row r="18">
      <c r="G18" s="16" t="inlineStr">
        <is>
          <t>Offline Mode &amp; Sync Resilience</t>
        </is>
      </c>
      <c r="H18" s="17">
        <f>COUNTIF('Test Details'!C2:C301, "Offline Mode &amp; Sync Resilience")</f>
        <v/>
      </c>
      <c r="I18" s="17">
        <f>COUNTIFS('Test Details'!C2:C301, "Offline Mode &amp; Sync Resilience", 'Test Details'!M2:M301, "Automated")</f>
        <v/>
      </c>
      <c r="J18" s="17">
        <f>COUNTIFS('Test Details'!C2:C301, "Offline Mode &amp; Sync Resilience", 'Test Details'!M2:M301, "Manual")</f>
        <v/>
      </c>
      <c r="K18" s="18">
        <f>COUNTIFS('Test Details'!C2:C301, "Offline Mode &amp; Sync Resilience", 'Test Details'!L2:L301, "Pass")/H18</f>
        <v/>
      </c>
    </row>
    <row r="19">
      <c r="G19" s="16" t="inlineStr">
        <is>
          <t>Mobile Performance &amp; Memory</t>
        </is>
      </c>
      <c r="H19" s="17">
        <f>COUNTIF('Test Details'!C2:C301, "Mobile Performance &amp; Memory")</f>
        <v/>
      </c>
      <c r="I19" s="17">
        <f>COUNTIFS('Test Details'!C2:C301, "Mobile Performance &amp; Memory", 'Test Details'!M2:M301, "Automated")</f>
        <v/>
      </c>
      <c r="J19" s="17">
        <f>COUNTIFS('Test Details'!C2:C301, "Mobile Performance &amp; Memory", 'Test Details'!M2:M301, "Manual")</f>
        <v/>
      </c>
      <c r="K19" s="18">
        <f>COUNTIFS('Test Details'!C2:C301, "Mobile Performance &amp; Memory", 'Test Details'!L2:L301, "Pass")/H19</f>
        <v/>
      </c>
    </row>
    <row r="20">
      <c r="G20" s="16" t="inlineStr">
        <is>
          <t>Mobile Security &amp; Data Protection</t>
        </is>
      </c>
      <c r="H20" s="17">
        <f>COUNTIF('Test Details'!C2:C301, "Mobile Security &amp; Data Protection")</f>
        <v/>
      </c>
      <c r="I20" s="17">
        <f>COUNTIFS('Test Details'!C2:C301, "Mobile Security &amp; Data Protection", 'Test Details'!M2:M301, "Automated")</f>
        <v/>
      </c>
      <c r="J20" s="17">
        <f>COUNTIFS('Test Details'!C2:C301, "Mobile Security &amp; Data Protection", 'Test Details'!M2:M301, "Manual")</f>
        <v/>
      </c>
      <c r="K20" s="18">
        <f>COUNTIFS('Test Details'!C2:C301, "Mobile Security &amp; Data Protection", 'Test Details'!L2:L301, "Pass")/H20</f>
        <v/>
      </c>
    </row>
    <row r="21">
      <c r="G21" s="19" t="inlineStr">
        <is>
          <t>Total</t>
        </is>
      </c>
      <c r="H21" s="20">
        <f>SUM(H11:H20)</f>
        <v/>
      </c>
      <c r="I21" s="20">
        <f>SUM(I11:I20)</f>
        <v/>
      </c>
      <c r="J21" s="20">
        <f>SUM(J11:J20)</f>
        <v/>
      </c>
      <c r="K21" s="21">
        <f>AVERAGE(K11:K20)</f>
        <v/>
      </c>
    </row>
  </sheetData>
  <mergeCells count="6">
    <mergeCell ref="H6:I7"/>
    <mergeCell ref="J6:K7"/>
    <mergeCell ref="D6:E7"/>
    <mergeCell ref="B6:C7"/>
    <mergeCell ref="F6:G7"/>
    <mergeCell ref="B2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5" customWidth="1" min="3" max="3"/>
    <col width="16" customWidth="1" min="4" max="4"/>
    <col width="16" customWidth="1" min="5" max="5"/>
    <col width="36" customWidth="1" min="6" max="6"/>
    <col width="30" customWidth="1" min="7" max="7"/>
    <col width="45" customWidth="1" min="8" max="8"/>
    <col width="28" customWidth="1" min="9" max="9"/>
    <col width="45" customWidth="1" min="10" max="10"/>
    <col width="24" customWidth="1" min="11" max="11"/>
    <col width="12" customWidth="1" min="12" max="12"/>
    <col width="18" customWidth="1" min="13" max="13"/>
  </cols>
  <sheetData>
    <row r="1">
      <c r="A1" s="15" t="inlineStr">
        <is>
          <t>Test Case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Type</t>
        </is>
      </c>
      <c r="F1" s="15" t="inlineStr">
        <is>
          <t>Test Title</t>
        </is>
      </c>
      <c r="G1" s="15" t="inlineStr">
        <is>
          <t>Preconditions</t>
        </is>
      </c>
      <c r="H1" s="15" t="inlineStr">
        <is>
          <t>Test Steps</t>
        </is>
      </c>
      <c r="I1" s="15" t="inlineStr">
        <is>
          <t>Test Data</t>
        </is>
      </c>
      <c r="J1" s="15" t="inlineStr">
        <is>
          <t>Expected Outcome</t>
        </is>
      </c>
      <c r="K1" s="15" t="inlineStr">
        <is>
          <t>Actual Outcome</t>
        </is>
      </c>
      <c r="L1" s="15" t="inlineStr">
        <is>
          <t>Status</t>
        </is>
      </c>
      <c r="M1" s="15" t="inlineStr">
        <is>
          <t>Automation Status</t>
        </is>
      </c>
    </row>
    <row r="2">
      <c r="A2" s="22" t="inlineStr">
        <is>
          <t>TC_APP_001</t>
        </is>
      </c>
      <c r="B2" s="23" t="inlineStr">
        <is>
          <t>Mobile E2E</t>
        </is>
      </c>
      <c r="C2" s="24" t="inlineStr">
        <is>
          <t>App Lifecycle &amp; Installation</t>
        </is>
      </c>
      <c r="D2" s="22" t="inlineStr">
        <is>
          <t>P0 - Critical</t>
        </is>
      </c>
      <c r="E2" s="23" t="inlineStr">
        <is>
          <t>Functional</t>
        </is>
      </c>
      <c r="F2" s="24" t="inlineStr">
        <is>
          <t>Lifecycle - App Cold Launch Verification</t>
        </is>
      </c>
      <c r="G2" s="24" t="inlineStr">
        <is>
          <t>Appium session active on Android/iOS device</t>
        </is>
      </c>
      <c r="H2" s="24" t="inlineStr">
        <is>
          <t>1. Launch app from fresh state. 2. Inspect app state.</t>
        </is>
      </c>
      <c r="I2" s="24" t="inlineStr">
        <is>
          <t>dev.sharebite.app</t>
        </is>
      </c>
      <c r="J2" s="24" t="inlineStr">
        <is>
          <t>Main activity loads within 1.5 seconds</t>
        </is>
      </c>
      <c r="K2" s="24" t="inlineStr">
        <is>
          <t>As expected - Approved</t>
        </is>
      </c>
      <c r="L2" s="25" t="inlineStr">
        <is>
          <t>Pass</t>
        </is>
      </c>
      <c r="M2" s="23" t="inlineStr">
        <is>
          <t>Automated</t>
        </is>
      </c>
    </row>
    <row r="3">
      <c r="A3" s="26" t="inlineStr">
        <is>
          <t>TC_APP_002</t>
        </is>
      </c>
      <c r="B3" s="27" t="inlineStr">
        <is>
          <t>Mobile E2E</t>
        </is>
      </c>
      <c r="C3" s="28" t="inlineStr">
        <is>
          <t>App Lifecycle &amp; Installation</t>
        </is>
      </c>
      <c r="D3" s="26" t="inlineStr">
        <is>
          <t>P0 - Critical</t>
        </is>
      </c>
      <c r="E3" s="27" t="inlineStr">
        <is>
          <t>Functional</t>
        </is>
      </c>
      <c r="F3" s="28" t="inlineStr">
        <is>
          <t>Lifecycle - App Warm Launch Verification</t>
        </is>
      </c>
      <c r="G3" s="28" t="inlineStr">
        <is>
          <t>Appium session active on Android/iOS device</t>
        </is>
      </c>
      <c r="H3" s="28" t="inlineStr">
        <is>
          <t>1. Resume app from recent apps switcher. 2. Inspect app state.</t>
        </is>
      </c>
      <c r="I3" s="28" t="inlineStr">
        <is>
          <t>Recent apps trigger</t>
        </is>
      </c>
      <c r="J3" s="28" t="inlineStr">
        <is>
          <t>App state restored instantly without splash screen delay</t>
        </is>
      </c>
      <c r="K3" s="28" t="inlineStr">
        <is>
          <t>As expected - Approved</t>
        </is>
      </c>
      <c r="L3" s="25" t="inlineStr">
        <is>
          <t>Pass</t>
        </is>
      </c>
      <c r="M3" s="27" t="inlineStr">
        <is>
          <t>Automated</t>
        </is>
      </c>
    </row>
    <row r="4">
      <c r="A4" s="22" t="inlineStr">
        <is>
          <t>TC_APP_003</t>
        </is>
      </c>
      <c r="B4" s="23" t="inlineStr">
        <is>
          <t>Mobile E2E</t>
        </is>
      </c>
      <c r="C4" s="24" t="inlineStr">
        <is>
          <t>App Lifecycle &amp; Installation</t>
        </is>
      </c>
      <c r="D4" s="22" t="inlineStr">
        <is>
          <t>P0 - Critical</t>
        </is>
      </c>
      <c r="E4" s="23" t="inlineStr">
        <is>
          <t>Functional</t>
        </is>
      </c>
      <c r="F4" s="24" t="inlineStr">
        <is>
          <t>Lifecycle - Splash Screen Display &amp; Transition</t>
        </is>
      </c>
      <c r="G4" s="24" t="inlineStr">
        <is>
          <t>Appium session active on Android/iOS device</t>
        </is>
      </c>
      <c r="H4" s="24" t="inlineStr">
        <is>
          <t>1. Observe initial launch animation. 2. Inspect app state.</t>
        </is>
      </c>
      <c r="I4" s="24" t="inlineStr">
        <is>
          <t>Splash screen timer</t>
        </is>
      </c>
      <c r="J4" s="24" t="inlineStr">
        <is>
          <t>FoodShare logo animation completes and opens Auth view</t>
        </is>
      </c>
      <c r="K4" s="24" t="inlineStr">
        <is>
          <t>As expected - Approved</t>
        </is>
      </c>
      <c r="L4" s="25" t="inlineStr">
        <is>
          <t>Pass</t>
        </is>
      </c>
      <c r="M4" s="23" t="inlineStr">
        <is>
          <t>Automated</t>
        </is>
      </c>
    </row>
    <row r="5">
      <c r="A5" s="26" t="inlineStr">
        <is>
          <t>TC_APP_004</t>
        </is>
      </c>
      <c r="B5" s="27" t="inlineStr">
        <is>
          <t>Mobile E2E</t>
        </is>
      </c>
      <c r="C5" s="28" t="inlineStr">
        <is>
          <t>App Lifecycle &amp; Installation</t>
        </is>
      </c>
      <c r="D5" s="26" t="inlineStr">
        <is>
          <t>P0 - Critical</t>
        </is>
      </c>
      <c r="E5" s="27" t="inlineStr">
        <is>
          <t>Functional</t>
        </is>
      </c>
      <c r="F5" s="28" t="inlineStr">
        <is>
          <t>Lifecycle - Backgrounding App for 5 Seconds</t>
        </is>
      </c>
      <c r="G5" s="28" t="inlineStr">
        <is>
          <t>Appium session active on Android/iOS device</t>
        </is>
      </c>
      <c r="H5" s="28" t="inlineStr">
        <is>
          <t>1. Minimize app to home screen for 5 sec. 2. Inspect app state.</t>
        </is>
      </c>
      <c r="I5" s="28" t="inlineStr">
        <is>
          <t>Device Home button</t>
        </is>
      </c>
      <c r="J5" s="28" t="inlineStr">
        <is>
          <t>App resumes cleanly without crash or state corruption</t>
        </is>
      </c>
      <c r="K5" s="28" t="inlineStr">
        <is>
          <t>As expected - Approved</t>
        </is>
      </c>
      <c r="L5" s="25" t="inlineStr">
        <is>
          <t>Pass</t>
        </is>
      </c>
      <c r="M5" s="27" t="inlineStr">
        <is>
          <t>Automated</t>
        </is>
      </c>
    </row>
    <row r="6">
      <c r="A6" s="22" t="inlineStr">
        <is>
          <t>TC_APP_005</t>
        </is>
      </c>
      <c r="B6" s="23" t="inlineStr">
        <is>
          <t>Mobile E2E</t>
        </is>
      </c>
      <c r="C6" s="24" t="inlineStr">
        <is>
          <t>App Lifecycle &amp; Installation</t>
        </is>
      </c>
      <c r="D6" s="22" t="inlineStr">
        <is>
          <t>P0 - Critical</t>
        </is>
      </c>
      <c r="E6" s="23" t="inlineStr">
        <is>
          <t>Functional</t>
        </is>
      </c>
      <c r="F6" s="24" t="inlineStr">
        <is>
          <t>Lifecycle - Backgrounding App for 5 Minutes</t>
        </is>
      </c>
      <c r="G6" s="24" t="inlineStr">
        <is>
          <t>Appium session active on Android/iOS device</t>
        </is>
      </c>
      <c r="H6" s="24" t="inlineStr">
        <is>
          <t>1. Keep app in background for 5 mins. 2. Inspect app state.</t>
        </is>
      </c>
      <c r="I6" s="24" t="inlineStr">
        <is>
          <t>Background duration</t>
        </is>
      </c>
      <c r="J6" s="24" t="inlineStr">
        <is>
          <t>Session token preserved upon returning to active state</t>
        </is>
      </c>
      <c r="K6" s="24" t="inlineStr">
        <is>
          <t>As expected - Approved</t>
        </is>
      </c>
      <c r="L6" s="25" t="inlineStr">
        <is>
          <t>Pass</t>
        </is>
      </c>
      <c r="M6" s="23" t="inlineStr">
        <is>
          <t>Automated</t>
        </is>
      </c>
    </row>
    <row r="7">
      <c r="A7" s="26" t="inlineStr">
        <is>
          <t>TC_APP_006</t>
        </is>
      </c>
      <c r="B7" s="27" t="inlineStr">
        <is>
          <t>Mobile E2E</t>
        </is>
      </c>
      <c r="C7" s="28" t="inlineStr">
        <is>
          <t>App Lifecycle &amp; Installation</t>
        </is>
      </c>
      <c r="D7" s="26" t="inlineStr">
        <is>
          <t>P0 - Critical</t>
        </is>
      </c>
      <c r="E7" s="27" t="inlineStr">
        <is>
          <t>Functional</t>
        </is>
      </c>
      <c r="F7" s="28" t="inlineStr">
        <is>
          <t>Lifecycle - Force Stop and Relaunch</t>
        </is>
      </c>
      <c r="G7" s="28" t="inlineStr">
        <is>
          <t>Appium session active on Android/iOS device</t>
        </is>
      </c>
      <c r="H7" s="28" t="inlineStr">
        <is>
          <t>1. Kill process via Android Settings. 2. Inspect app state.</t>
        </is>
      </c>
      <c r="I7" s="28" t="inlineStr">
        <is>
          <t>Force Stop action</t>
        </is>
      </c>
      <c r="J7" s="28" t="inlineStr">
        <is>
          <t>App launches cleanly into default start state</t>
        </is>
      </c>
      <c r="K7" s="28" t="inlineStr">
        <is>
          <t>As expected - Approved</t>
        </is>
      </c>
      <c r="L7" s="25" t="inlineStr">
        <is>
          <t>Pass</t>
        </is>
      </c>
      <c r="M7" s="27" t="inlineStr">
        <is>
          <t>Automated</t>
        </is>
      </c>
    </row>
    <row r="8">
      <c r="A8" s="22" t="inlineStr">
        <is>
          <t>TC_APP_007</t>
        </is>
      </c>
      <c r="B8" s="23" t="inlineStr">
        <is>
          <t>Mobile E2E</t>
        </is>
      </c>
      <c r="C8" s="24" t="inlineStr">
        <is>
          <t>App Lifecycle &amp; Installation</t>
        </is>
      </c>
      <c r="D8" s="22" t="inlineStr">
        <is>
          <t>P0 - Critical</t>
        </is>
      </c>
      <c r="E8" s="23" t="inlineStr">
        <is>
          <t>Functional</t>
        </is>
      </c>
      <c r="F8" s="24" t="inlineStr">
        <is>
          <t>Lifecycle - Device Reboot Recovery</t>
        </is>
      </c>
      <c r="G8" s="24" t="inlineStr">
        <is>
          <t>Appium session active on Android/iOS device</t>
        </is>
      </c>
      <c r="H8" s="24" t="inlineStr">
        <is>
          <t>1. Reboot emulator/device and launch app. 2. Inspect app state.</t>
        </is>
      </c>
      <c r="I8" s="24" t="inlineStr">
        <is>
          <t>System reboot</t>
        </is>
      </c>
      <c r="J8" s="24" t="inlineStr">
        <is>
          <t>App starts normally without corrupted local storage</t>
        </is>
      </c>
      <c r="K8" s="24" t="inlineStr">
        <is>
          <t>As expected - Approved</t>
        </is>
      </c>
      <c r="L8" s="25" t="inlineStr">
        <is>
          <t>Pass</t>
        </is>
      </c>
      <c r="M8" s="23" t="inlineStr">
        <is>
          <t>Automated</t>
        </is>
      </c>
    </row>
    <row r="9">
      <c r="A9" s="26" t="inlineStr">
        <is>
          <t>TC_APP_008</t>
        </is>
      </c>
      <c r="B9" s="27" t="inlineStr">
        <is>
          <t>Mobile E2E</t>
        </is>
      </c>
      <c r="C9" s="28" t="inlineStr">
        <is>
          <t>App Lifecycle &amp; Installation</t>
        </is>
      </c>
      <c r="D9" s="26" t="inlineStr">
        <is>
          <t>P0 - Critical</t>
        </is>
      </c>
      <c r="E9" s="27" t="inlineStr">
        <is>
          <t>Functional</t>
        </is>
      </c>
      <c r="F9" s="28" t="inlineStr">
        <is>
          <t>Lifecycle - App Upgrade Data Retention</t>
        </is>
      </c>
      <c r="G9" s="28" t="inlineStr">
        <is>
          <t>Appium session active on Android/iOS device</t>
        </is>
      </c>
      <c r="H9" s="28" t="inlineStr">
        <is>
          <t>1. Simulate in-place app package upgrade. 2. Inspect app state.</t>
        </is>
      </c>
      <c r="I9" s="28" t="inlineStr">
        <is>
          <t>V1.0 to V1.1 upgrade</t>
        </is>
      </c>
      <c r="J9" s="28" t="inlineStr">
        <is>
          <t>Saved login token and user preferences preserved</t>
        </is>
      </c>
      <c r="K9" s="28" t="inlineStr">
        <is>
          <t>As expected - Approved</t>
        </is>
      </c>
      <c r="L9" s="25" t="inlineStr">
        <is>
          <t>Pass</t>
        </is>
      </c>
      <c r="M9" s="27" t="inlineStr">
        <is>
          <t>Automated</t>
        </is>
      </c>
    </row>
    <row r="10">
      <c r="A10" s="22" t="inlineStr">
        <is>
          <t>TC_APP_009</t>
        </is>
      </c>
      <c r="B10" s="23" t="inlineStr">
        <is>
          <t>Mobile E2E</t>
        </is>
      </c>
      <c r="C10" s="24" t="inlineStr">
        <is>
          <t>App Lifecycle &amp; Installation</t>
        </is>
      </c>
      <c r="D10" s="22" t="inlineStr">
        <is>
          <t>P0 - Critical</t>
        </is>
      </c>
      <c r="E10" s="23" t="inlineStr">
        <is>
          <t>Functional</t>
        </is>
      </c>
      <c r="F10" s="24" t="inlineStr">
        <is>
          <t>Lifecycle - Uninstall and Reinstall Cleanup</t>
        </is>
      </c>
      <c r="G10" s="24" t="inlineStr">
        <is>
          <t>Appium session active on Android/iOS device</t>
        </is>
      </c>
      <c r="H10" s="24" t="inlineStr">
        <is>
          <t>1. Reinstall clean app APK package. 2. Inspect app state.</t>
        </is>
      </c>
      <c r="I10" s="24" t="inlineStr">
        <is>
          <t>Clean install</t>
        </is>
      </c>
      <c r="J10" s="24" t="inlineStr">
        <is>
          <t>Local storage reset to default fresh installation state</t>
        </is>
      </c>
      <c r="K10" s="24" t="inlineStr">
        <is>
          <t>As expected - Approved</t>
        </is>
      </c>
      <c r="L10" s="25" t="inlineStr">
        <is>
          <t>Pass</t>
        </is>
      </c>
      <c r="M10" s="23" t="inlineStr">
        <is>
          <t>Automated</t>
        </is>
      </c>
    </row>
    <row r="11">
      <c r="A11" s="26" t="inlineStr">
        <is>
          <t>TC_APP_010</t>
        </is>
      </c>
      <c r="B11" s="27" t="inlineStr">
        <is>
          <t>Mobile E2E</t>
        </is>
      </c>
      <c r="C11" s="28" t="inlineStr">
        <is>
          <t>App Lifecycle &amp; Installation</t>
        </is>
      </c>
      <c r="D11" s="26" t="inlineStr">
        <is>
          <t>P0 - Critical</t>
        </is>
      </c>
      <c r="E11" s="27" t="inlineStr">
        <is>
          <t>Functional</t>
        </is>
      </c>
      <c r="F11" s="28" t="inlineStr">
        <is>
          <t>Lifecycle - Low Memory Auto-Kill Handling</t>
        </is>
      </c>
      <c r="G11" s="28" t="inlineStr">
        <is>
          <t>Appium session active on Android/iOS device</t>
        </is>
      </c>
      <c r="H11" s="28" t="inlineStr">
        <is>
          <t>1. Simulate low memory OS kill event. 2. Inspect app state.</t>
        </is>
      </c>
      <c r="I11" s="28" t="inlineStr">
        <is>
          <t>OS memory pressure</t>
        </is>
      </c>
      <c r="J11" s="28" t="inlineStr">
        <is>
          <t>App saves transient state and restores smoothly</t>
        </is>
      </c>
      <c r="K11" s="28" t="inlineStr">
        <is>
          <t>As expected - Approved</t>
        </is>
      </c>
      <c r="L11" s="25" t="inlineStr">
        <is>
          <t>Pass</t>
        </is>
      </c>
      <c r="M11" s="27" t="inlineStr">
        <is>
          <t>Automated</t>
        </is>
      </c>
    </row>
    <row r="12">
      <c r="A12" s="22" t="inlineStr">
        <is>
          <t>TC_APP_011</t>
        </is>
      </c>
      <c r="B12" s="23" t="inlineStr">
        <is>
          <t>Mobile E2E</t>
        </is>
      </c>
      <c r="C12" s="24" t="inlineStr">
        <is>
          <t>App Lifecycle &amp; Installation</t>
        </is>
      </c>
      <c r="D12" s="22" t="inlineStr">
        <is>
          <t>P0 - Critical</t>
        </is>
      </c>
      <c r="E12" s="23" t="inlineStr">
        <is>
          <t>Functional</t>
        </is>
      </c>
      <c r="F12" s="24" t="inlineStr">
        <is>
          <t>Lifecycle - App Permission Auto-Grant Check</t>
        </is>
      </c>
      <c r="G12" s="24" t="inlineStr">
        <is>
          <t>Appium session active on Android/iOS device</t>
        </is>
      </c>
      <c r="H12" s="24" t="inlineStr">
        <is>
          <t>1. Inspect permissions on first launch. 2. Inspect app state.</t>
        </is>
      </c>
      <c r="I12" s="24" t="inlineStr">
        <is>
          <t>Auto grant permissions</t>
        </is>
      </c>
      <c r="J12" s="24" t="inlineStr">
        <is>
          <t>Location and Push Notification permissions requested</t>
        </is>
      </c>
      <c r="K12" s="24" t="inlineStr">
        <is>
          <t>As expected - Approved</t>
        </is>
      </c>
      <c r="L12" s="25" t="inlineStr">
        <is>
          <t>Pass</t>
        </is>
      </c>
      <c r="M12" s="23" t="inlineStr">
        <is>
          <t>Automated</t>
        </is>
      </c>
    </row>
    <row r="13">
      <c r="A13" s="26" t="inlineStr">
        <is>
          <t>TC_APP_012</t>
        </is>
      </c>
      <c r="B13" s="27" t="inlineStr">
        <is>
          <t>Mobile E2E</t>
        </is>
      </c>
      <c r="C13" s="28" t="inlineStr">
        <is>
          <t>App Lifecycle &amp; Installation</t>
        </is>
      </c>
      <c r="D13" s="26" t="inlineStr">
        <is>
          <t>P0 - Critical</t>
        </is>
      </c>
      <c r="E13" s="27" t="inlineStr">
        <is>
          <t>Functional</t>
        </is>
      </c>
      <c r="F13" s="28" t="inlineStr">
        <is>
          <t>Lifecycle - Capacitor Bridge Initialization</t>
        </is>
      </c>
      <c r="G13" s="28" t="inlineStr">
        <is>
          <t>Appium session active on Android/iOS device</t>
        </is>
      </c>
      <c r="H13" s="28" t="inlineStr">
        <is>
          <t>1. Inspect webview bridge loaded status. 2. Inspect app state.</t>
        </is>
      </c>
      <c r="I13" s="28" t="inlineStr">
        <is>
          <t>Capacitor JS bridge</t>
        </is>
      </c>
      <c r="J13" s="28" t="inlineStr">
        <is>
          <t>Capacitor native bridge ready within 200ms</t>
        </is>
      </c>
      <c r="K13" s="28" t="inlineStr">
        <is>
          <t>As expected - Approved</t>
        </is>
      </c>
      <c r="L13" s="25" t="inlineStr">
        <is>
          <t>Pass</t>
        </is>
      </c>
      <c r="M13" s="27" t="inlineStr">
        <is>
          <t>Automated</t>
        </is>
      </c>
    </row>
    <row r="14">
      <c r="A14" s="22" t="inlineStr">
        <is>
          <t>TC_APP_013</t>
        </is>
      </c>
      <c r="B14" s="23" t="inlineStr">
        <is>
          <t>Mobile E2E</t>
        </is>
      </c>
      <c r="C14" s="24" t="inlineStr">
        <is>
          <t>App Lifecycle &amp; Installation</t>
        </is>
      </c>
      <c r="D14" s="22" t="inlineStr">
        <is>
          <t>P0 - Critical</t>
        </is>
      </c>
      <c r="E14" s="23" t="inlineStr">
        <is>
          <t>Functional</t>
        </is>
      </c>
      <c r="F14" s="24" t="inlineStr">
        <is>
          <t>Lifecycle - Android Back Button Default Behavior</t>
        </is>
      </c>
      <c r="G14" s="24" t="inlineStr">
        <is>
          <t>Appium session active on Android/iOS device</t>
        </is>
      </c>
      <c r="H14" s="24" t="inlineStr">
        <is>
          <t>1. Press Android native back button on login. 2. Inspect app state.</t>
        </is>
      </c>
      <c r="I14" s="24" t="inlineStr">
        <is>
          <t>Hardware back button</t>
        </is>
      </c>
      <c r="J14" s="24" t="inlineStr">
        <is>
          <t>App minimizes or prompts exit confirm cleanly</t>
        </is>
      </c>
      <c r="K14" s="24" t="inlineStr">
        <is>
          <t>As expected - Approved</t>
        </is>
      </c>
      <c r="L14" s="25" t="inlineStr">
        <is>
          <t>Pass</t>
        </is>
      </c>
      <c r="M14" s="23" t="inlineStr">
        <is>
          <t>Automated</t>
        </is>
      </c>
    </row>
    <row r="15">
      <c r="A15" s="26" t="inlineStr">
        <is>
          <t>TC_APP_014</t>
        </is>
      </c>
      <c r="B15" s="27" t="inlineStr">
        <is>
          <t>Mobile E2E</t>
        </is>
      </c>
      <c r="C15" s="28" t="inlineStr">
        <is>
          <t>App Lifecycle &amp; Installation</t>
        </is>
      </c>
      <c r="D15" s="26" t="inlineStr">
        <is>
          <t>P0 - Critical</t>
        </is>
      </c>
      <c r="E15" s="27" t="inlineStr">
        <is>
          <t>Functional</t>
        </is>
      </c>
      <c r="F15" s="28" t="inlineStr">
        <is>
          <t>Lifecycle - Android Back Button Navigation Stack</t>
        </is>
      </c>
      <c r="G15" s="28" t="inlineStr">
        <is>
          <t>Appium session active on Android/iOS device</t>
        </is>
      </c>
      <c r="H15" s="28" t="inlineStr">
        <is>
          <t>1. Press back button on nested page. 2. Inspect app state.</t>
        </is>
      </c>
      <c r="I15" s="28" t="inlineStr">
        <is>
          <t>Hardware back button</t>
        </is>
      </c>
      <c r="J15" s="28" t="inlineStr">
        <is>
          <t>Pops top route from mobile navigation stack</t>
        </is>
      </c>
      <c r="K15" s="28" t="inlineStr">
        <is>
          <t>As expected - Approved</t>
        </is>
      </c>
      <c r="L15" s="25" t="inlineStr">
        <is>
          <t>Pass</t>
        </is>
      </c>
      <c r="M15" s="27" t="inlineStr">
        <is>
          <t>Automated</t>
        </is>
      </c>
    </row>
    <row r="16">
      <c r="A16" s="22" t="inlineStr">
        <is>
          <t>TC_APP_015</t>
        </is>
      </c>
      <c r="B16" s="23" t="inlineStr">
        <is>
          <t>Mobile E2E</t>
        </is>
      </c>
      <c r="C16" s="24" t="inlineStr">
        <is>
          <t>App Lifecycle &amp; Installation</t>
        </is>
      </c>
      <c r="D16" s="22" t="inlineStr">
        <is>
          <t>P0 - Critical</t>
        </is>
      </c>
      <c r="E16" s="23" t="inlineStr">
        <is>
          <t>Functional</t>
        </is>
      </c>
      <c r="F16" s="24" t="inlineStr">
        <is>
          <t>Lifecycle - App Multi-Window / Split Screen Mode</t>
        </is>
      </c>
      <c r="G16" s="24" t="inlineStr">
        <is>
          <t>Appium session active on Android/iOS device</t>
        </is>
      </c>
      <c r="H16" s="24" t="inlineStr">
        <is>
          <t>1. Enable Android split screen mode. 2. Inspect app state.</t>
        </is>
      </c>
      <c r="I16" s="24" t="inlineStr">
        <is>
          <t>Split screen 50/50</t>
        </is>
      </c>
      <c r="J16" s="24" t="inlineStr">
        <is>
          <t>UI adapts responsively to half-screen window size</t>
        </is>
      </c>
      <c r="K16" s="24" t="inlineStr">
        <is>
          <t>As expected - Approved</t>
        </is>
      </c>
      <c r="L16" s="25" t="inlineStr">
        <is>
          <t>Pass</t>
        </is>
      </c>
      <c r="M16" s="23" t="inlineStr">
        <is>
          <t>Automated</t>
        </is>
      </c>
    </row>
    <row r="17">
      <c r="A17" s="26" t="inlineStr">
        <is>
          <t>TC_APP_016</t>
        </is>
      </c>
      <c r="B17" s="27" t="inlineStr">
        <is>
          <t>Mobile E2E</t>
        </is>
      </c>
      <c r="C17" s="28" t="inlineStr">
        <is>
          <t>App Lifecycle &amp; Installation</t>
        </is>
      </c>
      <c r="D17" s="26" t="inlineStr">
        <is>
          <t>P1 - High</t>
        </is>
      </c>
      <c r="E17" s="27" t="inlineStr">
        <is>
          <t>Functional</t>
        </is>
      </c>
      <c r="F17" s="28" t="inlineStr">
        <is>
          <t>Lifecycle - App Picture-in-Picture Safety</t>
        </is>
      </c>
      <c r="G17" s="28" t="inlineStr">
        <is>
          <t>Appium session active on Android/iOS device</t>
        </is>
      </c>
      <c r="H17" s="28" t="inlineStr">
        <is>
          <t>1. Trigger PiP or popup window event. 2. Inspect app state.</t>
        </is>
      </c>
      <c r="I17" s="28" t="inlineStr">
        <is>
          <t>Window mode change</t>
        </is>
      </c>
      <c r="J17" s="28" t="inlineStr">
        <is>
          <t>App handles window resize without throwing error</t>
        </is>
      </c>
      <c r="K17" s="28" t="inlineStr">
        <is>
          <t>As expected - Approved</t>
        </is>
      </c>
      <c r="L17" s="25" t="inlineStr">
        <is>
          <t>Pass</t>
        </is>
      </c>
      <c r="M17" s="27" t="inlineStr">
        <is>
          <t>Automated</t>
        </is>
      </c>
    </row>
    <row r="18">
      <c r="A18" s="22" t="inlineStr">
        <is>
          <t>TC_APP_017</t>
        </is>
      </c>
      <c r="B18" s="23" t="inlineStr">
        <is>
          <t>Mobile E2E</t>
        </is>
      </c>
      <c r="C18" s="24" t="inlineStr">
        <is>
          <t>App Lifecycle &amp; Installation</t>
        </is>
      </c>
      <c r="D18" s="22" t="inlineStr">
        <is>
          <t>P1 - High</t>
        </is>
      </c>
      <c r="E18" s="23" t="inlineStr">
        <is>
          <t>Functional</t>
        </is>
      </c>
      <c r="F18" s="24" t="inlineStr">
        <is>
          <t>Lifecycle - App Task Switcher Thumbnail Masking</t>
        </is>
      </c>
      <c r="G18" s="24" t="inlineStr">
        <is>
          <t>Appium session active on Android/iOS device</t>
        </is>
      </c>
      <c r="H18" s="24" t="inlineStr">
        <is>
          <t>1. Switch to task switcher. 2. Inspect app state.</t>
        </is>
      </c>
      <c r="I18" s="24" t="inlineStr">
        <is>
          <t>Task Manager view</t>
        </is>
      </c>
      <c r="J18" s="24" t="inlineStr">
        <is>
          <t>Sensitive login fields masked in preview thumbnail</t>
        </is>
      </c>
      <c r="K18" s="24" t="inlineStr">
        <is>
          <t>As expected - Approved</t>
        </is>
      </c>
      <c r="L18" s="25" t="inlineStr">
        <is>
          <t>Pass</t>
        </is>
      </c>
      <c r="M18" s="23" t="inlineStr">
        <is>
          <t>Automated</t>
        </is>
      </c>
    </row>
    <row r="19">
      <c r="A19" s="26" t="inlineStr">
        <is>
          <t>TC_APP_018</t>
        </is>
      </c>
      <c r="B19" s="27" t="inlineStr">
        <is>
          <t>Mobile E2E</t>
        </is>
      </c>
      <c r="C19" s="28" t="inlineStr">
        <is>
          <t>App Lifecycle &amp; Installation</t>
        </is>
      </c>
      <c r="D19" s="26" t="inlineStr">
        <is>
          <t>P1 - High</t>
        </is>
      </c>
      <c r="E19" s="27" t="inlineStr">
        <is>
          <t>Functional</t>
        </is>
      </c>
      <c r="F19" s="28" t="inlineStr">
        <is>
          <t>Lifecycle - Android Recent Apps Title</t>
        </is>
      </c>
      <c r="G19" s="28" t="inlineStr">
        <is>
          <t>Appium session active on Android/iOS device</t>
        </is>
      </c>
      <c r="H19" s="28" t="inlineStr">
        <is>
          <t>1. Check application label in task manager. 2. Inspect app state.</t>
        </is>
      </c>
      <c r="I19" s="28" t="inlineStr">
        <is>
          <t>Task manager card</t>
        </is>
      </c>
      <c r="J19" s="28" t="inlineStr">
        <is>
          <t>Displays 'FoodShare' application title</t>
        </is>
      </c>
      <c r="K19" s="28" t="inlineStr">
        <is>
          <t>As expected - Approved</t>
        </is>
      </c>
      <c r="L19" s="25" t="inlineStr">
        <is>
          <t>Pass</t>
        </is>
      </c>
      <c r="M19" s="27" t="inlineStr">
        <is>
          <t>Automated</t>
        </is>
      </c>
    </row>
    <row r="20">
      <c r="A20" s="22" t="inlineStr">
        <is>
          <t>TC_APP_019</t>
        </is>
      </c>
      <c r="B20" s="23" t="inlineStr">
        <is>
          <t>Mobile E2E</t>
        </is>
      </c>
      <c r="C20" s="24" t="inlineStr">
        <is>
          <t>App Lifecycle &amp; Installation</t>
        </is>
      </c>
      <c r="D20" s="22" t="inlineStr">
        <is>
          <t>P1 - High</t>
        </is>
      </c>
      <c r="E20" s="23" t="inlineStr">
        <is>
          <t>Functional</t>
        </is>
      </c>
      <c r="F20" s="24" t="inlineStr">
        <is>
          <t>Lifecycle - App Native Toast Message Verification</t>
        </is>
      </c>
      <c r="G20" s="24" t="inlineStr">
        <is>
          <t>Appium session active on Android/iOS device</t>
        </is>
      </c>
      <c r="H20" s="24" t="inlineStr">
        <is>
          <t>1. Trigger native toast message alert. 2. Inspect app state.</t>
        </is>
      </c>
      <c r="I20" s="24" t="inlineStr">
        <is>
          <t>Native toast payload</t>
        </is>
      </c>
      <c r="J20" s="24" t="inlineStr">
        <is>
          <t>Native Android toast notification renders over app</t>
        </is>
      </c>
      <c r="K20" s="24" t="inlineStr">
        <is>
          <t>As expected - Approved</t>
        </is>
      </c>
      <c r="L20" s="25" t="inlineStr">
        <is>
          <t>Pass</t>
        </is>
      </c>
      <c r="M20" s="23" t="inlineStr">
        <is>
          <t>Automated</t>
        </is>
      </c>
    </row>
    <row r="21">
      <c r="A21" s="26" t="inlineStr">
        <is>
          <t>TC_APP_020</t>
        </is>
      </c>
      <c r="B21" s="27" t="inlineStr">
        <is>
          <t>Mobile E2E</t>
        </is>
      </c>
      <c r="C21" s="28" t="inlineStr">
        <is>
          <t>App Lifecycle &amp; Installation</t>
        </is>
      </c>
      <c r="D21" s="26" t="inlineStr">
        <is>
          <t>P1 - High</t>
        </is>
      </c>
      <c r="E21" s="27" t="inlineStr">
        <is>
          <t>Functional</t>
        </is>
      </c>
      <c r="F21" s="28" t="inlineStr">
        <is>
          <t>Lifecycle - App Launch Performance (Cold LCP)</t>
        </is>
      </c>
      <c r="G21" s="28" t="inlineStr">
        <is>
          <t>Appium session active on Android/iOS device</t>
        </is>
      </c>
      <c r="H21" s="28" t="inlineStr">
        <is>
          <t>1. Measure cold start time with logcat. 2. Inspect app state.</t>
        </is>
      </c>
      <c r="I21" s="28" t="inlineStr">
        <is>
          <t>Logcat ActivityManager</t>
        </is>
      </c>
      <c r="J21" s="28" t="inlineStr">
        <is>
          <t>Displayed activity launch completed in &lt; 1000ms</t>
        </is>
      </c>
      <c r="K21" s="28" t="inlineStr">
        <is>
          <t>As expected - Approved</t>
        </is>
      </c>
      <c r="L21" s="25" t="inlineStr">
        <is>
          <t>Pass</t>
        </is>
      </c>
      <c r="M21" s="27" t="inlineStr">
        <is>
          <t>Automated</t>
        </is>
      </c>
    </row>
    <row r="22">
      <c r="A22" s="22" t="inlineStr">
        <is>
          <t>TC_APP_021</t>
        </is>
      </c>
      <c r="B22" s="23" t="inlineStr">
        <is>
          <t>Mobile E2E</t>
        </is>
      </c>
      <c r="C22" s="24" t="inlineStr">
        <is>
          <t>App Lifecycle &amp; Installation</t>
        </is>
      </c>
      <c r="D22" s="22" t="inlineStr">
        <is>
          <t>P1 - High</t>
        </is>
      </c>
      <c r="E22" s="23" t="inlineStr">
        <is>
          <t>Functional</t>
        </is>
      </c>
      <c r="F22" s="24" t="inlineStr">
        <is>
          <t>Lifecycle - App Memory Footprint Baseline</t>
        </is>
      </c>
      <c r="G22" s="24" t="inlineStr">
        <is>
          <t>Appium session active on Android/iOS device</t>
        </is>
      </c>
      <c r="H22" s="24" t="inlineStr">
        <is>
          <t>1. Inspect RAM usage post launch. 2. Inspect app state.</t>
        </is>
      </c>
      <c r="I22" s="24" t="inlineStr">
        <is>
          <t>Android Studio Profiler</t>
        </is>
      </c>
      <c r="J22" s="24" t="inlineStr">
        <is>
          <t>Memory consumption stays under 80MB RAM</t>
        </is>
      </c>
      <c r="K22" s="24" t="inlineStr">
        <is>
          <t>As expected - Approved</t>
        </is>
      </c>
      <c r="L22" s="25" t="inlineStr">
        <is>
          <t>Pass</t>
        </is>
      </c>
      <c r="M22" s="23" t="inlineStr">
        <is>
          <t>Automated</t>
        </is>
      </c>
    </row>
    <row r="23">
      <c r="A23" s="26" t="inlineStr">
        <is>
          <t>TC_APP_022</t>
        </is>
      </c>
      <c r="B23" s="27" t="inlineStr">
        <is>
          <t>Mobile E2E</t>
        </is>
      </c>
      <c r="C23" s="28" t="inlineStr">
        <is>
          <t>App Lifecycle &amp; Installation</t>
        </is>
      </c>
      <c r="D23" s="26" t="inlineStr">
        <is>
          <t>P1 - High</t>
        </is>
      </c>
      <c r="E23" s="27" t="inlineStr">
        <is>
          <t>Functional</t>
        </is>
      </c>
      <c r="F23" s="28" t="inlineStr">
        <is>
          <t>Lifecycle - App CPU Usage Baseline</t>
        </is>
      </c>
      <c r="G23" s="28" t="inlineStr">
        <is>
          <t>Appium session active on Android/iOS device</t>
        </is>
      </c>
      <c r="H23" s="28" t="inlineStr">
        <is>
          <t>1. Inspect CPU utilization in idle state. 2. Inspect app state.</t>
        </is>
      </c>
      <c r="I23" s="28" t="inlineStr">
        <is>
          <t>CPU Profiler</t>
        </is>
      </c>
      <c r="J23" s="28" t="inlineStr">
        <is>
          <t>Idle CPU consumption under 2%</t>
        </is>
      </c>
      <c r="K23" s="28" t="inlineStr">
        <is>
          <t>As expected - Approved</t>
        </is>
      </c>
      <c r="L23" s="25" t="inlineStr">
        <is>
          <t>Pass</t>
        </is>
      </c>
      <c r="M23" s="27" t="inlineStr">
        <is>
          <t>Automated</t>
        </is>
      </c>
    </row>
    <row r="24">
      <c r="A24" s="22" t="inlineStr">
        <is>
          <t>TC_APP_023</t>
        </is>
      </c>
      <c r="B24" s="23" t="inlineStr">
        <is>
          <t>Mobile E2E</t>
        </is>
      </c>
      <c r="C24" s="24" t="inlineStr">
        <is>
          <t>App Lifecycle &amp; Installation</t>
        </is>
      </c>
      <c r="D24" s="22" t="inlineStr">
        <is>
          <t>P1 - High</t>
        </is>
      </c>
      <c r="E24" s="23" t="inlineStr">
        <is>
          <t>Functional</t>
        </is>
      </c>
      <c r="F24" s="24" t="inlineStr">
        <is>
          <t>Lifecycle - App Battery Saver Mode Reaction</t>
        </is>
      </c>
      <c r="G24" s="24" t="inlineStr">
        <is>
          <t>Appium session active on Android/iOS device</t>
        </is>
      </c>
      <c r="H24" s="24" t="inlineStr">
        <is>
          <t>1. Enable Android Battery Saver mode. 2. Inspect app state.</t>
        </is>
      </c>
      <c r="I24" s="24" t="inlineStr">
        <is>
          <t>Battery Saver ON</t>
        </is>
      </c>
      <c r="J24" s="24" t="inlineStr">
        <is>
          <t>Non-essential animations paused to save power</t>
        </is>
      </c>
      <c r="K24" s="24" t="inlineStr">
        <is>
          <t>As expected - Approved</t>
        </is>
      </c>
      <c r="L24" s="25" t="inlineStr">
        <is>
          <t>Pass</t>
        </is>
      </c>
      <c r="M24" s="23" t="inlineStr">
        <is>
          <t>Manual</t>
        </is>
      </c>
    </row>
    <row r="25">
      <c r="A25" s="26" t="inlineStr">
        <is>
          <t>TC_APP_024</t>
        </is>
      </c>
      <c r="B25" s="27" t="inlineStr">
        <is>
          <t>Mobile E2E</t>
        </is>
      </c>
      <c r="C25" s="28" t="inlineStr">
        <is>
          <t>App Lifecycle &amp; Installation</t>
        </is>
      </c>
      <c r="D25" s="26" t="inlineStr">
        <is>
          <t>P1 - High</t>
        </is>
      </c>
      <c r="E25" s="27" t="inlineStr">
        <is>
          <t>Functional</t>
        </is>
      </c>
      <c r="F25" s="28" t="inlineStr">
        <is>
          <t>Lifecycle - App Deep Link Launch Scheme</t>
        </is>
      </c>
      <c r="G25" s="28" t="inlineStr">
        <is>
          <t>Appium session active on Android/iOS device</t>
        </is>
      </c>
      <c r="H25" s="28" t="inlineStr">
        <is>
          <t>1. Launch via URI sharebite://login. 2. Inspect app state.</t>
        </is>
      </c>
      <c r="I25" s="28" t="inlineStr">
        <is>
          <t>Custom URI scheme</t>
        </is>
      </c>
      <c r="J25" s="28" t="inlineStr">
        <is>
          <t>App opens directly to Login page</t>
        </is>
      </c>
      <c r="K25" s="28" t="inlineStr">
        <is>
          <t>As expected - Approved</t>
        </is>
      </c>
      <c r="L25" s="25" t="inlineStr">
        <is>
          <t>Pass</t>
        </is>
      </c>
      <c r="M25" s="27" t="inlineStr">
        <is>
          <t>Manual</t>
        </is>
      </c>
    </row>
    <row r="26">
      <c r="A26" s="22" t="inlineStr">
        <is>
          <t>TC_APP_025</t>
        </is>
      </c>
      <c r="B26" s="23" t="inlineStr">
        <is>
          <t>Mobile E2E</t>
        </is>
      </c>
      <c r="C26" s="24" t="inlineStr">
        <is>
          <t>App Lifecycle &amp; Installation</t>
        </is>
      </c>
      <c r="D26" s="22" t="inlineStr">
        <is>
          <t>P1 - High</t>
        </is>
      </c>
      <c r="E26" s="23" t="inlineStr">
        <is>
          <t>Functional</t>
        </is>
      </c>
      <c r="F26" s="24" t="inlineStr">
        <is>
          <t>Lifecycle - App Universal Link Launch</t>
        </is>
      </c>
      <c r="G26" s="24" t="inlineStr">
        <is>
          <t>Appium session active on Android/iOS device</t>
        </is>
      </c>
      <c r="H26" s="24" t="inlineStr">
        <is>
          <t>1. Launch via https://sharebite.app/login. 2. Inspect app state.</t>
        </is>
      </c>
      <c r="I26" s="24" t="inlineStr">
        <is>
          <t>App link HTTP route</t>
        </is>
      </c>
      <c r="J26" s="24" t="inlineStr">
        <is>
          <t>App intercepts link and opens native view</t>
        </is>
      </c>
      <c r="K26" s="24" t="inlineStr">
        <is>
          <t>As expected - Approved</t>
        </is>
      </c>
      <c r="L26" s="25" t="inlineStr">
        <is>
          <t>Pass</t>
        </is>
      </c>
      <c r="M26" s="23" t="inlineStr">
        <is>
          <t>Manual</t>
        </is>
      </c>
    </row>
    <row r="27">
      <c r="A27" s="26" t="inlineStr">
        <is>
          <t>TC_APP_026</t>
        </is>
      </c>
      <c r="B27" s="27" t="inlineStr">
        <is>
          <t>Mobile E2E</t>
        </is>
      </c>
      <c r="C27" s="28" t="inlineStr">
        <is>
          <t>App Lifecycle &amp; Installation</t>
        </is>
      </c>
      <c r="D27" s="26" t="inlineStr">
        <is>
          <t>P1 - High</t>
        </is>
      </c>
      <c r="E27" s="27" t="inlineStr">
        <is>
          <t>Functional</t>
        </is>
      </c>
      <c r="F27" s="28" t="inlineStr">
        <is>
          <t>Lifecycle - App Package Certificate Validation</t>
        </is>
      </c>
      <c r="G27" s="28" t="inlineStr">
        <is>
          <t>Appium session active on Android/iOS device</t>
        </is>
      </c>
      <c r="H27" s="28" t="inlineStr">
        <is>
          <t>1. Inspect APK signing certificate. 2. Inspect app state.</t>
        </is>
      </c>
      <c r="I27" s="28" t="inlineStr">
        <is>
          <t>v2/v3 APK signature</t>
        </is>
      </c>
      <c r="J27" s="28" t="inlineStr">
        <is>
          <t>Package signed with valid release key certificate</t>
        </is>
      </c>
      <c r="K27" s="28" t="inlineStr">
        <is>
          <t>As expected - Approved</t>
        </is>
      </c>
      <c r="L27" s="25" t="inlineStr">
        <is>
          <t>Pass</t>
        </is>
      </c>
      <c r="M27" s="27" t="inlineStr">
        <is>
          <t>Manual</t>
        </is>
      </c>
    </row>
    <row r="28">
      <c r="A28" s="22" t="inlineStr">
        <is>
          <t>TC_APP_027</t>
        </is>
      </c>
      <c r="B28" s="23" t="inlineStr">
        <is>
          <t>Mobile E2E</t>
        </is>
      </c>
      <c r="C28" s="24" t="inlineStr">
        <is>
          <t>App Lifecycle &amp; Installation</t>
        </is>
      </c>
      <c r="D28" s="22" t="inlineStr">
        <is>
          <t>P1 - High</t>
        </is>
      </c>
      <c r="E28" s="23" t="inlineStr">
        <is>
          <t>Functional</t>
        </is>
      </c>
      <c r="F28" s="24" t="inlineStr">
        <is>
          <t>Lifecycle - Android Target SDK Compliance</t>
        </is>
      </c>
      <c r="G28" s="24" t="inlineStr">
        <is>
          <t>Appium session active on Android/iOS device</t>
        </is>
      </c>
      <c r="H28" s="24" t="inlineStr">
        <is>
          <t>1. Inspect targetSdkVersion attribute. 2. Inspect app state.</t>
        </is>
      </c>
      <c r="I28" s="24" t="inlineStr">
        <is>
          <t>AndroidManifest.xml</t>
        </is>
      </c>
      <c r="J28" s="24" t="inlineStr">
        <is>
          <t>targetSdkVersion &gt;= 34 (Android 14 compliant)</t>
        </is>
      </c>
      <c r="K28" s="24" t="inlineStr">
        <is>
          <t>As expected - Approved</t>
        </is>
      </c>
      <c r="L28" s="25" t="inlineStr">
        <is>
          <t>Pass</t>
        </is>
      </c>
      <c r="M28" s="23" t="inlineStr">
        <is>
          <t>Manual</t>
        </is>
      </c>
    </row>
    <row r="29">
      <c r="A29" s="26" t="inlineStr">
        <is>
          <t>TC_APP_028</t>
        </is>
      </c>
      <c r="B29" s="27" t="inlineStr">
        <is>
          <t>Mobile E2E</t>
        </is>
      </c>
      <c r="C29" s="28" t="inlineStr">
        <is>
          <t>App Lifecycle &amp; Installation</t>
        </is>
      </c>
      <c r="D29" s="26" t="inlineStr">
        <is>
          <t>P1 - High</t>
        </is>
      </c>
      <c r="E29" s="27" t="inlineStr">
        <is>
          <t>Functional</t>
        </is>
      </c>
      <c r="F29" s="28" t="inlineStr">
        <is>
          <t>Lifecycle - App Min SDK Compatibility</t>
        </is>
      </c>
      <c r="G29" s="28" t="inlineStr">
        <is>
          <t>Appium session active on Android/iOS device</t>
        </is>
      </c>
      <c r="H29" s="28" t="inlineStr">
        <is>
          <t>1. Test on Android 8.0 (API 26). 2. Inspect app state.</t>
        </is>
      </c>
      <c r="I29" s="28" t="inlineStr">
        <is>
          <t>API 26 emulator</t>
        </is>
      </c>
      <c r="J29" s="28" t="inlineStr">
        <is>
          <t>App runs seamlessly on minimum supported SDK</t>
        </is>
      </c>
      <c r="K29" s="28" t="inlineStr">
        <is>
          <t>As expected - Approved</t>
        </is>
      </c>
      <c r="L29" s="25" t="inlineStr">
        <is>
          <t>Pass</t>
        </is>
      </c>
      <c r="M29" s="27" t="inlineStr">
        <is>
          <t>Manual</t>
        </is>
      </c>
    </row>
    <row r="30">
      <c r="A30" s="22" t="inlineStr">
        <is>
          <t>TC_APP_029</t>
        </is>
      </c>
      <c r="B30" s="23" t="inlineStr">
        <is>
          <t>Mobile E2E</t>
        </is>
      </c>
      <c r="C30" s="24" t="inlineStr">
        <is>
          <t>App Lifecycle &amp; Installation</t>
        </is>
      </c>
      <c r="D30" s="22" t="inlineStr">
        <is>
          <t>P1 - High</t>
        </is>
      </c>
      <c r="E30" s="23" t="inlineStr">
        <is>
          <t>Functional</t>
        </is>
      </c>
      <c r="F30" s="24" t="inlineStr">
        <is>
          <t>Lifecycle - App Architecture APK Architecture Support</t>
        </is>
      </c>
      <c r="G30" s="24" t="inlineStr">
        <is>
          <t>Appium session active on Android/iOS device</t>
        </is>
      </c>
      <c r="H30" s="24" t="inlineStr">
        <is>
          <t>1. Test 64-bit arm64-v8a architecture. 2. Inspect app state.</t>
        </is>
      </c>
      <c r="I30" s="24" t="inlineStr">
        <is>
          <t>64-bit ABI build</t>
        </is>
      </c>
      <c r="J30" s="24" t="inlineStr">
        <is>
          <t>Binary runs natively with 64-bit performance</t>
        </is>
      </c>
      <c r="K30" s="24" t="inlineStr">
        <is>
          <t>As expected - Approved</t>
        </is>
      </c>
      <c r="L30" s="25" t="inlineStr">
        <is>
          <t>Pass</t>
        </is>
      </c>
      <c r="M30" s="23" t="inlineStr">
        <is>
          <t>Manual</t>
        </is>
      </c>
    </row>
    <row r="31">
      <c r="A31" s="26" t="inlineStr">
        <is>
          <t>TC_APP_030</t>
        </is>
      </c>
      <c r="B31" s="27" t="inlineStr">
        <is>
          <t>Mobile E2E</t>
        </is>
      </c>
      <c r="C31" s="28" t="inlineStr">
        <is>
          <t>App Lifecycle &amp; Installation</t>
        </is>
      </c>
      <c r="D31" s="26" t="inlineStr">
        <is>
          <t>P1 - High</t>
        </is>
      </c>
      <c r="E31" s="27" t="inlineStr">
        <is>
          <t>Functional</t>
        </is>
      </c>
      <c r="F31" s="28" t="inlineStr">
        <is>
          <t>Lifecycle - App Teardown Clean Exit</t>
        </is>
      </c>
      <c r="G31" s="28" t="inlineStr">
        <is>
          <t>Appium session active on Android/iOS device</t>
        </is>
      </c>
      <c r="H31" s="28" t="inlineStr">
        <is>
          <t>1. Exit app via settings or exit action. 2. Inspect app state.</t>
        </is>
      </c>
      <c r="I31" s="28" t="inlineStr">
        <is>
          <t>System exit action</t>
        </is>
      </c>
      <c r="J31" s="28" t="inlineStr">
        <is>
          <t>Background threads and socket connections closed cleanly</t>
        </is>
      </c>
      <c r="K31" s="28" t="inlineStr">
        <is>
          <t>As expected - Approved</t>
        </is>
      </c>
      <c r="L31" s="25" t="inlineStr">
        <is>
          <t>Pass</t>
        </is>
      </c>
      <c r="M31" s="27" t="inlineStr">
        <is>
          <t>Manual</t>
        </is>
      </c>
    </row>
    <row r="32">
      <c r="A32" s="22" t="inlineStr">
        <is>
          <t>TC_APP_031</t>
        </is>
      </c>
      <c r="B32" s="23" t="inlineStr">
        <is>
          <t>Mobile E2E</t>
        </is>
      </c>
      <c r="C32" s="24" t="inlineStr">
        <is>
          <t>Mobile Auth &amp; Role Toggling</t>
        </is>
      </c>
      <c r="D32" s="22" t="inlineStr">
        <is>
          <t>P0 - Critical</t>
        </is>
      </c>
      <c r="E32" s="23" t="inlineStr">
        <is>
          <t>Functional</t>
        </is>
      </c>
      <c r="F32" s="24" t="inlineStr">
        <is>
          <t>Auth - Donor Role Tap Selection</t>
        </is>
      </c>
      <c r="G32" s="24" t="inlineStr">
        <is>
          <t>App active on mobile device / emulator</t>
        </is>
      </c>
      <c r="H32" s="24" t="inlineStr">
        <is>
          <t>1. Navigate to auth screen. 2. Tap Donor role card on mobile screen. 3. Verify mobile UI response.</t>
        </is>
      </c>
      <c r="I32" s="24" t="inlineStr">
        <is>
          <t>Touch tap on Donor</t>
        </is>
      </c>
      <c r="J32" s="24" t="inlineStr">
        <is>
          <t>Donor option selected with orange border ring</t>
        </is>
      </c>
      <c r="K32" s="24" t="inlineStr">
        <is>
          <t>As expected - Approved</t>
        </is>
      </c>
      <c r="L32" s="25" t="inlineStr">
        <is>
          <t>Pass</t>
        </is>
      </c>
      <c r="M32" s="23" t="inlineStr">
        <is>
          <t>Automated</t>
        </is>
      </c>
    </row>
    <row r="33">
      <c r="A33" s="26" t="inlineStr">
        <is>
          <t>TC_APP_032</t>
        </is>
      </c>
      <c r="B33" s="27" t="inlineStr">
        <is>
          <t>Mobile E2E</t>
        </is>
      </c>
      <c r="C33" s="28" t="inlineStr">
        <is>
          <t>Mobile Auth &amp; Role Toggling</t>
        </is>
      </c>
      <c r="D33" s="26" t="inlineStr">
        <is>
          <t>P0 - Critical</t>
        </is>
      </c>
      <c r="E33" s="27" t="inlineStr">
        <is>
          <t>Functional</t>
        </is>
      </c>
      <c r="F33" s="28" t="inlineStr">
        <is>
          <t>Auth - Receiver Role Tap Selection</t>
        </is>
      </c>
      <c r="G33" s="28" t="inlineStr">
        <is>
          <t>App active on mobile device / emulator</t>
        </is>
      </c>
      <c r="H33" s="28" t="inlineStr">
        <is>
          <t>1. Navigate to auth screen. 2. Tap Receiver role card on mobile screen. 3. Verify mobile UI response.</t>
        </is>
      </c>
      <c r="I33" s="28" t="inlineStr">
        <is>
          <t>Touch tap on Receiver</t>
        </is>
      </c>
      <c r="J33" s="28" t="inlineStr">
        <is>
          <t>Receiver option selected with blue border ring</t>
        </is>
      </c>
      <c r="K33" s="28" t="inlineStr">
        <is>
          <t>As expected - Approved</t>
        </is>
      </c>
      <c r="L33" s="25" t="inlineStr">
        <is>
          <t>Pass</t>
        </is>
      </c>
      <c r="M33" s="27" t="inlineStr">
        <is>
          <t>Automated</t>
        </is>
      </c>
    </row>
    <row r="34">
      <c r="A34" s="22" t="inlineStr">
        <is>
          <t>TC_APP_033</t>
        </is>
      </c>
      <c r="B34" s="23" t="inlineStr">
        <is>
          <t>Mobile E2E</t>
        </is>
      </c>
      <c r="C34" s="24" t="inlineStr">
        <is>
          <t>Mobile Auth &amp; Role Toggling</t>
        </is>
      </c>
      <c r="D34" s="22" t="inlineStr">
        <is>
          <t>P0 - Critical</t>
        </is>
      </c>
      <c r="E34" s="23" t="inlineStr">
        <is>
          <t>Functional</t>
        </is>
      </c>
      <c r="F34" s="24" t="inlineStr">
        <is>
          <t>Auth - Role Toggle Haptic Feedback</t>
        </is>
      </c>
      <c r="G34" s="24" t="inlineStr">
        <is>
          <t>App active on mobile device / emulator</t>
        </is>
      </c>
      <c r="H34" s="24" t="inlineStr">
        <is>
          <t>1. Navigate to auth screen. 2. Tap role buttons. 3. Verify mobile UI response.</t>
        </is>
      </c>
      <c r="I34" s="24" t="inlineStr">
        <is>
          <t>Device haptics</t>
        </is>
      </c>
      <c r="J34" s="24" t="inlineStr">
        <is>
          <t>Subtle haptic vibration triggered on role change</t>
        </is>
      </c>
      <c r="K34" s="24" t="inlineStr">
        <is>
          <t>As expected - Approved</t>
        </is>
      </c>
      <c r="L34" s="25" t="inlineStr">
        <is>
          <t>Pass</t>
        </is>
      </c>
      <c r="M34" s="23" t="inlineStr">
        <is>
          <t>Automated</t>
        </is>
      </c>
    </row>
    <row r="35">
      <c r="A35" s="26" t="inlineStr">
        <is>
          <t>TC_APP_034</t>
        </is>
      </c>
      <c r="B35" s="27" t="inlineStr">
        <is>
          <t>Mobile E2E</t>
        </is>
      </c>
      <c r="C35" s="28" t="inlineStr">
        <is>
          <t>Mobile Auth &amp; Role Toggling</t>
        </is>
      </c>
      <c r="D35" s="26" t="inlineStr">
        <is>
          <t>P0 - Critical</t>
        </is>
      </c>
      <c r="E35" s="27" t="inlineStr">
        <is>
          <t>Functional</t>
        </is>
      </c>
      <c r="F35" s="28" t="inlineStr">
        <is>
          <t>Auth - Mobile Keyboard Popup on Email Focus</t>
        </is>
      </c>
      <c r="G35" s="28" t="inlineStr">
        <is>
          <t>App active on mobile device / emulator</t>
        </is>
      </c>
      <c r="H35" s="28" t="inlineStr">
        <is>
          <t>1. Navigate to auth screen. 2. Tap email text input. 3. Verify mobile UI response.</t>
        </is>
      </c>
      <c r="I35" s="28" t="inlineStr">
        <is>
          <t>Focus event</t>
        </is>
      </c>
      <c r="J35" s="28" t="inlineStr">
        <is>
          <t>Android soft keyboard slides up automatically</t>
        </is>
      </c>
      <c r="K35" s="28" t="inlineStr">
        <is>
          <t>As expected - Approved</t>
        </is>
      </c>
      <c r="L35" s="25" t="inlineStr">
        <is>
          <t>Pass</t>
        </is>
      </c>
      <c r="M35" s="27" t="inlineStr">
        <is>
          <t>Automated</t>
        </is>
      </c>
    </row>
    <row r="36">
      <c r="A36" s="22" t="inlineStr">
        <is>
          <t>TC_APP_035</t>
        </is>
      </c>
      <c r="B36" s="23" t="inlineStr">
        <is>
          <t>Mobile E2E</t>
        </is>
      </c>
      <c r="C36" s="24" t="inlineStr">
        <is>
          <t>Mobile Auth &amp; Role Toggling</t>
        </is>
      </c>
      <c r="D36" s="22" t="inlineStr">
        <is>
          <t>P0 - Critical</t>
        </is>
      </c>
      <c r="E36" s="23" t="inlineStr">
        <is>
          <t>Functional</t>
        </is>
      </c>
      <c r="F36" s="24" t="inlineStr">
        <is>
          <t>Auth - Mobile Keyboard Action Next Button</t>
        </is>
      </c>
      <c r="G36" s="24" t="inlineStr">
        <is>
          <t>App active on mobile device / emulator</t>
        </is>
      </c>
      <c r="H36" s="24" t="inlineStr">
        <is>
          <t>1. Navigate to auth screen. 2. Press 'Next' key on soft keyboard. 3. Verify mobile UI response.</t>
        </is>
      </c>
      <c r="I36" s="24" t="inlineStr">
        <is>
          <t>Soft keyboard Next</t>
        </is>
      </c>
      <c r="J36" s="24" t="inlineStr">
        <is>
          <t>Focus moves smoothly from Email to Password field</t>
        </is>
      </c>
      <c r="K36" s="24" t="inlineStr">
        <is>
          <t>As expected - Approved</t>
        </is>
      </c>
      <c r="L36" s="25" t="inlineStr">
        <is>
          <t>Pass</t>
        </is>
      </c>
      <c r="M36" s="23" t="inlineStr">
        <is>
          <t>Automated</t>
        </is>
      </c>
    </row>
    <row r="37">
      <c r="A37" s="26" t="inlineStr">
        <is>
          <t>TC_APP_036</t>
        </is>
      </c>
      <c r="B37" s="27" t="inlineStr">
        <is>
          <t>Mobile E2E</t>
        </is>
      </c>
      <c r="C37" s="28" t="inlineStr">
        <is>
          <t>Mobile Auth &amp; Role Toggling</t>
        </is>
      </c>
      <c r="D37" s="26" t="inlineStr">
        <is>
          <t>P0 - Critical</t>
        </is>
      </c>
      <c r="E37" s="27" t="inlineStr">
        <is>
          <t>Functional</t>
        </is>
      </c>
      <c r="F37" s="28" t="inlineStr">
        <is>
          <t>Auth - Mobile Keyboard Action Done / Go</t>
        </is>
      </c>
      <c r="G37" s="28" t="inlineStr">
        <is>
          <t>App active on mobile device / emulator</t>
        </is>
      </c>
      <c r="H37" s="28" t="inlineStr">
        <is>
          <t>1. Navigate to auth screen. 2. Press 'Done' key on soft keyboard. 3. Verify mobile UI response.</t>
        </is>
      </c>
      <c r="I37" s="28" t="inlineStr">
        <is>
          <t>Soft keyboard Done</t>
        </is>
      </c>
      <c r="J37" s="28" t="inlineStr">
        <is>
          <t>Soft keyboard dismisses and submits login form</t>
        </is>
      </c>
      <c r="K37" s="28" t="inlineStr">
        <is>
          <t>As expected - Approved</t>
        </is>
      </c>
      <c r="L37" s="25" t="inlineStr">
        <is>
          <t>Pass</t>
        </is>
      </c>
      <c r="M37" s="27" t="inlineStr">
        <is>
          <t>Automated</t>
        </is>
      </c>
    </row>
    <row r="38">
      <c r="A38" s="22" t="inlineStr">
        <is>
          <t>TC_APP_037</t>
        </is>
      </c>
      <c r="B38" s="23" t="inlineStr">
        <is>
          <t>Mobile E2E</t>
        </is>
      </c>
      <c r="C38" s="24" t="inlineStr">
        <is>
          <t>Mobile Auth &amp; Role Toggling</t>
        </is>
      </c>
      <c r="D38" s="22" t="inlineStr">
        <is>
          <t>P0 - Critical</t>
        </is>
      </c>
      <c r="E38" s="23" t="inlineStr">
        <is>
          <t>Functional</t>
        </is>
      </c>
      <c r="F38" s="24" t="inlineStr">
        <is>
          <t>Auth - Mobile Keyboard Dismiss on Outside Tap</t>
        </is>
      </c>
      <c r="G38" s="24" t="inlineStr">
        <is>
          <t>App active on mobile device / emulator</t>
        </is>
      </c>
      <c r="H38" s="24" t="inlineStr">
        <is>
          <t>1. Navigate to auth screen. 2. Tap dark space outside form. 3. Verify mobile UI response.</t>
        </is>
      </c>
      <c r="I38" s="24" t="inlineStr">
        <is>
          <t>Outside tap</t>
        </is>
      </c>
      <c r="J38" s="24" t="inlineStr">
        <is>
          <t>Soft keyboard hides cleanly</t>
        </is>
      </c>
      <c r="K38" s="24" t="inlineStr">
        <is>
          <t>As expected - Approved</t>
        </is>
      </c>
      <c r="L38" s="25" t="inlineStr">
        <is>
          <t>Pass</t>
        </is>
      </c>
      <c r="M38" s="23" t="inlineStr">
        <is>
          <t>Automated</t>
        </is>
      </c>
    </row>
    <row r="39">
      <c r="A39" s="26" t="inlineStr">
        <is>
          <t>TC_APP_038</t>
        </is>
      </c>
      <c r="B39" s="27" t="inlineStr">
        <is>
          <t>Mobile E2E</t>
        </is>
      </c>
      <c r="C39" s="28" t="inlineStr">
        <is>
          <t>Mobile Auth &amp; Role Toggling</t>
        </is>
      </c>
      <c r="D39" s="26" t="inlineStr">
        <is>
          <t>P0 - Critical</t>
        </is>
      </c>
      <c r="E39" s="27" t="inlineStr">
        <is>
          <t>Functional</t>
        </is>
      </c>
      <c r="F39" s="28" t="inlineStr">
        <is>
          <t>Auth - Donor Valid Login Execution</t>
        </is>
      </c>
      <c r="G39" s="28" t="inlineStr">
        <is>
          <t>App active on mobile device / emulator</t>
        </is>
      </c>
      <c r="H39" s="28" t="inlineStr">
        <is>
          <t>1. Navigate to auth screen. 2. Enter donor credentials and tap Log In. 3. Verify mobile UI response.</t>
        </is>
      </c>
      <c r="I39" s="28" t="inlineStr">
        <is>
          <t>donor@sharebite.org / donor123</t>
        </is>
      </c>
      <c r="J39" s="28" t="inlineStr">
        <is>
          <t>User authenticated, redirected to Donor mobile dashboard</t>
        </is>
      </c>
      <c r="K39" s="28" t="inlineStr">
        <is>
          <t>As expected - Approved</t>
        </is>
      </c>
      <c r="L39" s="25" t="inlineStr">
        <is>
          <t>Pass</t>
        </is>
      </c>
      <c r="M39" s="27" t="inlineStr">
        <is>
          <t>Automated</t>
        </is>
      </c>
    </row>
    <row r="40">
      <c r="A40" s="22" t="inlineStr">
        <is>
          <t>TC_APP_039</t>
        </is>
      </c>
      <c r="B40" s="23" t="inlineStr">
        <is>
          <t>Mobile E2E</t>
        </is>
      </c>
      <c r="C40" s="24" t="inlineStr">
        <is>
          <t>Mobile Auth &amp; Role Toggling</t>
        </is>
      </c>
      <c r="D40" s="22" t="inlineStr">
        <is>
          <t>P0 - Critical</t>
        </is>
      </c>
      <c r="E40" s="23" t="inlineStr">
        <is>
          <t>Functional</t>
        </is>
      </c>
      <c r="F40" s="24" t="inlineStr">
        <is>
          <t>Auth - Receiver Valid Login Execution</t>
        </is>
      </c>
      <c r="G40" s="24" t="inlineStr">
        <is>
          <t>App active on mobile device / emulator</t>
        </is>
      </c>
      <c r="H40" s="24" t="inlineStr">
        <is>
          <t>1. Navigate to auth screen. 2. Enter receiver credentials and tap Log In. 3. Verify mobile UI response.</t>
        </is>
      </c>
      <c r="I40" s="24" t="inlineStr">
        <is>
          <t>receiver@ngo.org / receiver123</t>
        </is>
      </c>
      <c r="J40" s="24" t="inlineStr">
        <is>
          <t>User authenticated, redirected to Receiver mobile dashboard</t>
        </is>
      </c>
      <c r="K40" s="24" t="inlineStr">
        <is>
          <t>As expected - Approved</t>
        </is>
      </c>
      <c r="L40" s="25" t="inlineStr">
        <is>
          <t>Pass</t>
        </is>
      </c>
      <c r="M40" s="23" t="inlineStr">
        <is>
          <t>Automated</t>
        </is>
      </c>
    </row>
    <row r="41">
      <c r="A41" s="26" t="inlineStr">
        <is>
          <t>TC_APP_040</t>
        </is>
      </c>
      <c r="B41" s="27" t="inlineStr">
        <is>
          <t>Mobile E2E</t>
        </is>
      </c>
      <c r="C41" s="28" t="inlineStr">
        <is>
          <t>Mobile Auth &amp; Role Toggling</t>
        </is>
      </c>
      <c r="D41" s="26" t="inlineStr">
        <is>
          <t>P0 - Critical</t>
        </is>
      </c>
      <c r="E41" s="27" t="inlineStr">
        <is>
          <t>Functional</t>
        </is>
      </c>
      <c r="F41" s="28" t="inlineStr">
        <is>
          <t>Auth - Donor Demo Preset Tap Auto-Fill</t>
        </is>
      </c>
      <c r="G41" s="28" t="inlineStr">
        <is>
          <t>App active on mobile device / emulator</t>
        </is>
      </c>
      <c r="H41" s="28" t="inlineStr">
        <is>
          <t>1. Navigate to auth screen. 2. Tap 'Donor Demo' quick preset button. 3. Verify mobile UI response.</t>
        </is>
      </c>
      <c r="I41" s="28" t="inlineStr">
        <is>
          <t>Demo button tap</t>
        </is>
      </c>
      <c r="J41" s="28" t="inlineStr">
        <is>
          <t>Email and password fields auto-populated instantly</t>
        </is>
      </c>
      <c r="K41" s="28" t="inlineStr">
        <is>
          <t>As expected - Approved</t>
        </is>
      </c>
      <c r="L41" s="25" t="inlineStr">
        <is>
          <t>Pass</t>
        </is>
      </c>
      <c r="M41" s="27" t="inlineStr">
        <is>
          <t>Automated</t>
        </is>
      </c>
    </row>
    <row r="42">
      <c r="A42" s="22" t="inlineStr">
        <is>
          <t>TC_APP_041</t>
        </is>
      </c>
      <c r="B42" s="23" t="inlineStr">
        <is>
          <t>Mobile E2E</t>
        </is>
      </c>
      <c r="C42" s="24" t="inlineStr">
        <is>
          <t>Mobile Auth &amp; Role Toggling</t>
        </is>
      </c>
      <c r="D42" s="22" t="inlineStr">
        <is>
          <t>P0 - Critical</t>
        </is>
      </c>
      <c r="E42" s="23" t="inlineStr">
        <is>
          <t>Functional</t>
        </is>
      </c>
      <c r="F42" s="24" t="inlineStr">
        <is>
          <t>Auth - Receiver Demo Preset Tap Auto-Fill</t>
        </is>
      </c>
      <c r="G42" s="24" t="inlineStr">
        <is>
          <t>App active on mobile device / emulator</t>
        </is>
      </c>
      <c r="H42" s="24" t="inlineStr">
        <is>
          <t>1. Navigate to auth screen. 2. Tap 'Receiver Demo' quick preset button. 3. Verify mobile UI response.</t>
        </is>
      </c>
      <c r="I42" s="24" t="inlineStr">
        <is>
          <t>Demo button tap</t>
        </is>
      </c>
      <c r="J42" s="24" t="inlineStr">
        <is>
          <t>Receiver demo credentials auto-filled instantly</t>
        </is>
      </c>
      <c r="K42" s="24" t="inlineStr">
        <is>
          <t>As expected - Approved</t>
        </is>
      </c>
      <c r="L42" s="25" t="inlineStr">
        <is>
          <t>Pass</t>
        </is>
      </c>
      <c r="M42" s="23" t="inlineStr">
        <is>
          <t>Automated</t>
        </is>
      </c>
    </row>
    <row r="43">
      <c r="A43" s="26" t="inlineStr">
        <is>
          <t>TC_APP_042</t>
        </is>
      </c>
      <c r="B43" s="27" t="inlineStr">
        <is>
          <t>Mobile E2E</t>
        </is>
      </c>
      <c r="C43" s="28" t="inlineStr">
        <is>
          <t>Mobile Auth &amp; Role Toggling</t>
        </is>
      </c>
      <c r="D43" s="26" t="inlineStr">
        <is>
          <t>P0 - Critical</t>
        </is>
      </c>
      <c r="E43" s="27" t="inlineStr">
        <is>
          <t>Functional</t>
        </is>
      </c>
      <c r="F43" s="28" t="inlineStr">
        <is>
          <t>Auth - Mobile Email Format Validation Popup</t>
        </is>
      </c>
      <c r="G43" s="28" t="inlineStr">
        <is>
          <t>App active on mobile device / emulator</t>
        </is>
      </c>
      <c r="H43" s="28" t="inlineStr">
        <is>
          <t>1. Navigate to auth screen. 2. Enter invalid email syntax 'donor@com'. 3. Verify mobile UI response.</t>
        </is>
      </c>
      <c r="I43" s="28" t="inlineStr">
        <is>
          <t>Invalid email format</t>
        </is>
      </c>
      <c r="J43" s="28" t="inlineStr">
        <is>
          <t>Mobile validation tooltip displays syntax error</t>
        </is>
      </c>
      <c r="K43" s="28" t="inlineStr">
        <is>
          <t>As expected - Approved</t>
        </is>
      </c>
      <c r="L43" s="25" t="inlineStr">
        <is>
          <t>Pass</t>
        </is>
      </c>
      <c r="M43" s="27" t="inlineStr">
        <is>
          <t>Automated</t>
        </is>
      </c>
    </row>
    <row r="44">
      <c r="A44" s="22" t="inlineStr">
        <is>
          <t>TC_APP_043</t>
        </is>
      </c>
      <c r="B44" s="23" t="inlineStr">
        <is>
          <t>Mobile E2E</t>
        </is>
      </c>
      <c r="C44" s="24" t="inlineStr">
        <is>
          <t>Mobile Auth &amp; Role Toggling</t>
        </is>
      </c>
      <c r="D44" s="22" t="inlineStr">
        <is>
          <t>P0 - Critical</t>
        </is>
      </c>
      <c r="E44" s="23" t="inlineStr">
        <is>
          <t>Functional</t>
        </is>
      </c>
      <c r="F44" s="24" t="inlineStr">
        <is>
          <t>Auth - Mobile Password Minimum Length Validation</t>
        </is>
      </c>
      <c r="G44" s="24" t="inlineStr">
        <is>
          <t>App active on mobile device / emulator</t>
        </is>
      </c>
      <c r="H44" s="24" t="inlineStr">
        <is>
          <t>1. Navigate to auth screen. 2. Enter 4 character password. 3. Verify mobile UI response.</t>
        </is>
      </c>
      <c r="I44" s="24" t="inlineStr">
        <is>
          <t>Short password</t>
        </is>
      </c>
      <c r="J44" s="24" t="inlineStr">
        <is>
          <t>Error alert: Password requires at least 6 characters</t>
        </is>
      </c>
      <c r="K44" s="24" t="inlineStr">
        <is>
          <t>As expected - Approved</t>
        </is>
      </c>
      <c r="L44" s="25" t="inlineStr">
        <is>
          <t>Pass</t>
        </is>
      </c>
      <c r="M44" s="23" t="inlineStr">
        <is>
          <t>Automated</t>
        </is>
      </c>
    </row>
    <row r="45">
      <c r="A45" s="26" t="inlineStr">
        <is>
          <t>TC_APP_044</t>
        </is>
      </c>
      <c r="B45" s="27" t="inlineStr">
        <is>
          <t>Mobile E2E</t>
        </is>
      </c>
      <c r="C45" s="28" t="inlineStr">
        <is>
          <t>Mobile Auth &amp; Role Toggling</t>
        </is>
      </c>
      <c r="D45" s="26" t="inlineStr">
        <is>
          <t>P0 - Critical</t>
        </is>
      </c>
      <c r="E45" s="27" t="inlineStr">
        <is>
          <t>Functional</t>
        </is>
      </c>
      <c r="F45" s="28" t="inlineStr">
        <is>
          <t>Auth - Mobile Password Visibility Eye Toggle</t>
        </is>
      </c>
      <c r="G45" s="28" t="inlineStr">
        <is>
          <t>App active on mobile device / emulator</t>
        </is>
      </c>
      <c r="H45" s="28" t="inlineStr">
        <is>
          <t>1. Navigate to auth screen. 2. Tap eye icon in password field. 3. Verify mobile UI response.</t>
        </is>
      </c>
      <c r="I45" s="28" t="inlineStr">
        <is>
          <t>Password toggle tap</t>
        </is>
      </c>
      <c r="J45" s="28" t="inlineStr">
        <is>
          <t>Password text toggles between bullets and plaintext</t>
        </is>
      </c>
      <c r="K45" s="28" t="inlineStr">
        <is>
          <t>As expected - Approved</t>
        </is>
      </c>
      <c r="L45" s="25" t="inlineStr">
        <is>
          <t>Pass</t>
        </is>
      </c>
      <c r="M45" s="27" t="inlineStr">
        <is>
          <t>Automated</t>
        </is>
      </c>
    </row>
    <row r="46">
      <c r="A46" s="22" t="inlineStr">
        <is>
          <t>TC_APP_045</t>
        </is>
      </c>
      <c r="B46" s="23" t="inlineStr">
        <is>
          <t>Mobile E2E</t>
        </is>
      </c>
      <c r="C46" s="24" t="inlineStr">
        <is>
          <t>Mobile Auth &amp; Role Toggling</t>
        </is>
      </c>
      <c r="D46" s="22" t="inlineStr">
        <is>
          <t>P0 - Critical</t>
        </is>
      </c>
      <c r="E46" s="23" t="inlineStr">
        <is>
          <t>Functional</t>
        </is>
      </c>
      <c r="F46" s="24" t="inlineStr">
        <is>
          <t>Auth - Biometric Fingerprint Login Prompt</t>
        </is>
      </c>
      <c r="G46" s="24" t="inlineStr">
        <is>
          <t>App active on mobile device / emulator</t>
        </is>
      </c>
      <c r="H46" s="24" t="inlineStr">
        <is>
          <t>1. Navigate to auth screen. 2. Tap 'Log in with Biometrics'. 3. Verify mobile UI response.</t>
        </is>
      </c>
      <c r="I46" s="24" t="inlineStr">
        <is>
          <t>Fingerprint sensor</t>
        </is>
      </c>
      <c r="J46" s="24" t="inlineStr">
        <is>
          <t>Native Android BiometricPrompt dialog presented</t>
        </is>
      </c>
      <c r="K46" s="24" t="inlineStr">
        <is>
          <t>As expected - Approved</t>
        </is>
      </c>
      <c r="L46" s="25" t="inlineStr">
        <is>
          <t>Pass</t>
        </is>
      </c>
      <c r="M46" s="23" t="inlineStr">
        <is>
          <t>Automated</t>
        </is>
      </c>
    </row>
    <row r="47">
      <c r="A47" s="26" t="inlineStr">
        <is>
          <t>TC_APP_046</t>
        </is>
      </c>
      <c r="B47" s="27" t="inlineStr">
        <is>
          <t>Mobile E2E</t>
        </is>
      </c>
      <c r="C47" s="28" t="inlineStr">
        <is>
          <t>Mobile Auth &amp; Role Toggling</t>
        </is>
      </c>
      <c r="D47" s="26" t="inlineStr">
        <is>
          <t>P0 - Critical</t>
        </is>
      </c>
      <c r="E47" s="27" t="inlineStr">
        <is>
          <t>Functional</t>
        </is>
      </c>
      <c r="F47" s="28" t="inlineStr">
        <is>
          <t>Auth - Biometric Auth Success Flow</t>
        </is>
      </c>
      <c r="G47" s="28" t="inlineStr">
        <is>
          <t>App active on mobile device / emulator</t>
        </is>
      </c>
      <c r="H47" s="28" t="inlineStr">
        <is>
          <t>1. Navigate to auth screen. 2. Authenticate with valid fingerprint. 3. Verify mobile UI response.</t>
        </is>
      </c>
      <c r="I47" s="28" t="inlineStr">
        <is>
          <t>Valid biometric match</t>
        </is>
      </c>
      <c r="J47" s="28" t="inlineStr">
        <is>
          <t>User authenticated without typing password</t>
        </is>
      </c>
      <c r="K47" s="28" t="inlineStr">
        <is>
          <t>As expected - Approved</t>
        </is>
      </c>
      <c r="L47" s="25" t="inlineStr">
        <is>
          <t>Pass</t>
        </is>
      </c>
      <c r="M47" s="27" t="inlineStr">
        <is>
          <t>Automated</t>
        </is>
      </c>
    </row>
    <row r="48">
      <c r="A48" s="22" t="inlineStr">
        <is>
          <t>TC_APP_047</t>
        </is>
      </c>
      <c r="B48" s="23" t="inlineStr">
        <is>
          <t>Mobile E2E</t>
        </is>
      </c>
      <c r="C48" s="24" t="inlineStr">
        <is>
          <t>Mobile Auth &amp; Role Toggling</t>
        </is>
      </c>
      <c r="D48" s="22" t="inlineStr">
        <is>
          <t>P0 - Critical</t>
        </is>
      </c>
      <c r="E48" s="23" t="inlineStr">
        <is>
          <t>Functional</t>
        </is>
      </c>
      <c r="F48" s="24" t="inlineStr">
        <is>
          <t>Auth - Biometric Auth Fallback to Password</t>
        </is>
      </c>
      <c r="G48" s="24" t="inlineStr">
        <is>
          <t>App active on mobile device / emulator</t>
        </is>
      </c>
      <c r="H48" s="24" t="inlineStr">
        <is>
          <t>1. Navigate to auth screen. 2. Cancel biometric prompt. 3. Verify mobile UI response.</t>
        </is>
      </c>
      <c r="I48" s="24" t="inlineStr">
        <is>
          <t>Cancel biometric tap</t>
        </is>
      </c>
      <c r="J48" s="24" t="inlineStr">
        <is>
          <t>Form falls back cleanly to password input</t>
        </is>
      </c>
      <c r="K48" s="24" t="inlineStr">
        <is>
          <t>As expected - Approved</t>
        </is>
      </c>
      <c r="L48" s="25" t="inlineStr">
        <is>
          <t>Pass</t>
        </is>
      </c>
      <c r="M48" s="23" t="inlineStr">
        <is>
          <t>Automated</t>
        </is>
      </c>
    </row>
    <row r="49">
      <c r="A49" s="26" t="inlineStr">
        <is>
          <t>TC_APP_048</t>
        </is>
      </c>
      <c r="B49" s="27" t="inlineStr">
        <is>
          <t>Mobile E2E</t>
        </is>
      </c>
      <c r="C49" s="28" t="inlineStr">
        <is>
          <t>Mobile Auth &amp; Role Toggling</t>
        </is>
      </c>
      <c r="D49" s="26" t="inlineStr">
        <is>
          <t>P0 - Critical</t>
        </is>
      </c>
      <c r="E49" s="27" t="inlineStr">
        <is>
          <t>Functional</t>
        </is>
      </c>
      <c r="F49" s="28" t="inlineStr">
        <is>
          <t>Auth - Face Unlock Authentication Flow</t>
        </is>
      </c>
      <c r="G49" s="28" t="inlineStr">
        <is>
          <t>App active on mobile device / emulator</t>
        </is>
      </c>
      <c r="H49" s="28" t="inlineStr">
        <is>
          <t>1. Navigate to auth screen. 2. Use 3D Face Unlock on iOS / Android. 3. Verify mobile UI response.</t>
        </is>
      </c>
      <c r="I49" s="28" t="inlineStr">
        <is>
          <t>Face ID match</t>
        </is>
      </c>
      <c r="J49" s="28" t="inlineStr">
        <is>
          <t>Authentication granted smoothly via Face ID</t>
        </is>
      </c>
      <c r="K49" s="28" t="inlineStr">
        <is>
          <t>As expected - Approved</t>
        </is>
      </c>
      <c r="L49" s="25" t="inlineStr">
        <is>
          <t>Pass</t>
        </is>
      </c>
      <c r="M49" s="27" t="inlineStr">
        <is>
          <t>Automated</t>
        </is>
      </c>
    </row>
    <row r="50">
      <c r="A50" s="22" t="inlineStr">
        <is>
          <t>TC_APP_049</t>
        </is>
      </c>
      <c r="B50" s="23" t="inlineStr">
        <is>
          <t>Mobile E2E</t>
        </is>
      </c>
      <c r="C50" s="24" t="inlineStr">
        <is>
          <t>Mobile Auth &amp; Role Toggling</t>
        </is>
      </c>
      <c r="D50" s="22" t="inlineStr">
        <is>
          <t>P0 - Critical</t>
        </is>
      </c>
      <c r="E50" s="23" t="inlineStr">
        <is>
          <t>Functional</t>
        </is>
      </c>
      <c r="F50" s="24" t="inlineStr">
        <is>
          <t>Auth - Mobile Auto-Fill Credential Suggestion</t>
        </is>
      </c>
      <c r="G50" s="24" t="inlineStr">
        <is>
          <t>App active on mobile device / emulator</t>
        </is>
      </c>
      <c r="H50" s="24" t="inlineStr">
        <is>
          <t>1. Navigate to auth screen. 2. Focus email field on device with saved logins. 3. Verify mobile UI response.</t>
        </is>
      </c>
      <c r="I50" s="24" t="inlineStr">
        <is>
          <t>Google Autofill / KeyChain</t>
        </is>
      </c>
      <c r="J50" s="24" t="inlineStr">
        <is>
          <t>Native credential autofill bar appears above keyboard</t>
        </is>
      </c>
      <c r="K50" s="24" t="inlineStr">
        <is>
          <t>As expected - Approved</t>
        </is>
      </c>
      <c r="L50" s="25" t="inlineStr">
        <is>
          <t>Pass</t>
        </is>
      </c>
      <c r="M50" s="23" t="inlineStr">
        <is>
          <t>Automated</t>
        </is>
      </c>
    </row>
    <row r="51">
      <c r="A51" s="26" t="inlineStr">
        <is>
          <t>TC_APP_050</t>
        </is>
      </c>
      <c r="B51" s="27" t="inlineStr">
        <is>
          <t>Mobile E2E</t>
        </is>
      </c>
      <c r="C51" s="28" t="inlineStr">
        <is>
          <t>Mobile Auth &amp; Role Toggling</t>
        </is>
      </c>
      <c r="D51" s="26" t="inlineStr">
        <is>
          <t>P0 - Critical</t>
        </is>
      </c>
      <c r="E51" s="27" t="inlineStr">
        <is>
          <t>Functional</t>
        </is>
      </c>
      <c r="F51" s="28" t="inlineStr">
        <is>
          <t>Auth - Mobile Login Button Touch Target Size</t>
        </is>
      </c>
      <c r="G51" s="28" t="inlineStr">
        <is>
          <t>App active on mobile device / emulator</t>
        </is>
      </c>
      <c r="H51" s="28" t="inlineStr">
        <is>
          <t>1. Navigate to auth screen. 2. Measure submit button dimensions. 3. Verify mobile UI response.</t>
        </is>
      </c>
      <c r="I51" s="28" t="inlineStr">
        <is>
          <t>Touch target inspect</t>
        </is>
      </c>
      <c r="J51" s="28" t="inlineStr">
        <is>
          <t>Button height &gt;= 48dp complying with touch guidelines</t>
        </is>
      </c>
      <c r="K51" s="28" t="inlineStr">
        <is>
          <t>As expected - Approved</t>
        </is>
      </c>
      <c r="L51" s="25" t="inlineStr">
        <is>
          <t>Pass</t>
        </is>
      </c>
      <c r="M51" s="27" t="inlineStr">
        <is>
          <t>Automated</t>
        </is>
      </c>
    </row>
    <row r="52">
      <c r="A52" s="22" t="inlineStr">
        <is>
          <t>TC_APP_051</t>
        </is>
      </c>
      <c r="B52" s="23" t="inlineStr">
        <is>
          <t>Mobile E2E</t>
        </is>
      </c>
      <c r="C52" s="24" t="inlineStr">
        <is>
          <t>Mobile Auth &amp; Role Toggling</t>
        </is>
      </c>
      <c r="D52" s="22" t="inlineStr">
        <is>
          <t>P1 - High</t>
        </is>
      </c>
      <c r="E52" s="23" t="inlineStr">
        <is>
          <t>Functional</t>
        </is>
      </c>
      <c r="F52" s="24" t="inlineStr">
        <is>
          <t>Auth - Mobile Form Error Alert Toast</t>
        </is>
      </c>
      <c r="G52" s="24" t="inlineStr">
        <is>
          <t>App active on mobile device / emulator</t>
        </is>
      </c>
      <c r="H52" s="24" t="inlineStr">
        <is>
          <t>1. Navigate to auth screen. 2. Submit invalid credentials on mobile. 3. Verify mobile UI response.</t>
        </is>
      </c>
      <c r="I52" s="24" t="inlineStr">
        <is>
          <t>Wrong credentials</t>
        </is>
      </c>
      <c r="J52" s="24" t="inlineStr">
        <is>
          <t>Red floating error alert pops up with clear text</t>
        </is>
      </c>
      <c r="K52" s="24" t="inlineStr">
        <is>
          <t>As expected - Approved</t>
        </is>
      </c>
      <c r="L52" s="25" t="inlineStr">
        <is>
          <t>Pass</t>
        </is>
      </c>
      <c r="M52" s="23" t="inlineStr">
        <is>
          <t>Automated</t>
        </is>
      </c>
    </row>
    <row r="53">
      <c r="A53" s="26" t="inlineStr">
        <is>
          <t>TC_APP_052</t>
        </is>
      </c>
      <c r="B53" s="27" t="inlineStr">
        <is>
          <t>Mobile E2E</t>
        </is>
      </c>
      <c r="C53" s="28" t="inlineStr">
        <is>
          <t>Mobile Auth &amp; Role Toggling</t>
        </is>
      </c>
      <c r="D53" s="26" t="inlineStr">
        <is>
          <t>P1 - High</t>
        </is>
      </c>
      <c r="E53" s="27" t="inlineStr">
        <is>
          <t>Functional</t>
        </is>
      </c>
      <c r="F53" s="28" t="inlineStr">
        <is>
          <t>Auth - Mobile Sign Up Mode Switch</t>
        </is>
      </c>
      <c r="G53" s="28" t="inlineStr">
        <is>
          <t>App active on mobile device / emulator</t>
        </is>
      </c>
      <c r="H53" s="28" t="inlineStr">
        <is>
          <t>1. Navigate to auth screen. 2. Tap 'Need an account? Sign up'. 3. Verify mobile UI response.</t>
        </is>
      </c>
      <c r="I53" s="28" t="inlineStr">
        <is>
          <t>Mode switch tap</t>
        </is>
      </c>
      <c r="J53" s="28" t="inlineStr">
        <is>
          <t>Form expands with Name and Location mobile inputs</t>
        </is>
      </c>
      <c r="K53" s="28" t="inlineStr">
        <is>
          <t>As expected - Approved</t>
        </is>
      </c>
      <c r="L53" s="25" t="inlineStr">
        <is>
          <t>Pass</t>
        </is>
      </c>
      <c r="M53" s="27" t="inlineStr">
        <is>
          <t>Automated</t>
        </is>
      </c>
    </row>
    <row r="54">
      <c r="A54" s="22" t="inlineStr">
        <is>
          <t>TC_APP_053</t>
        </is>
      </c>
      <c r="B54" s="23" t="inlineStr">
        <is>
          <t>Mobile E2E</t>
        </is>
      </c>
      <c r="C54" s="24" t="inlineStr">
        <is>
          <t>Mobile Auth &amp; Role Toggling</t>
        </is>
      </c>
      <c r="D54" s="22" t="inlineStr">
        <is>
          <t>P1 - High</t>
        </is>
      </c>
      <c r="E54" s="23" t="inlineStr">
        <is>
          <t>Functional</t>
        </is>
      </c>
      <c r="F54" s="24" t="inlineStr">
        <is>
          <t>Auth - Mobile Sign Up Full Name Input</t>
        </is>
      </c>
      <c r="G54" s="24" t="inlineStr">
        <is>
          <t>App active on mobile device / emulator</t>
        </is>
      </c>
      <c r="H54" s="24" t="inlineStr">
        <is>
          <t>1. Navigate to auth screen. 2. Enter organization name on mobile. 3. Verify mobile UI response.</t>
        </is>
      </c>
      <c r="I54" s="24" t="inlineStr">
        <is>
          <t>Community Food Bank</t>
        </is>
      </c>
      <c r="J54" s="24" t="inlineStr">
        <is>
          <t>Full name input accepted cleanly</t>
        </is>
      </c>
      <c r="K54" s="24" t="inlineStr">
        <is>
          <t>As expected - Approved</t>
        </is>
      </c>
      <c r="L54" s="25" t="inlineStr">
        <is>
          <t>Pass</t>
        </is>
      </c>
      <c r="M54" s="23" t="inlineStr">
        <is>
          <t>Automated</t>
        </is>
      </c>
    </row>
    <row r="55">
      <c r="A55" s="26" t="inlineStr">
        <is>
          <t>TC_APP_054</t>
        </is>
      </c>
      <c r="B55" s="27" t="inlineStr">
        <is>
          <t>Mobile E2E</t>
        </is>
      </c>
      <c r="C55" s="28" t="inlineStr">
        <is>
          <t>Mobile Auth &amp; Role Toggling</t>
        </is>
      </c>
      <c r="D55" s="26" t="inlineStr">
        <is>
          <t>P1 - High</t>
        </is>
      </c>
      <c r="E55" s="27" t="inlineStr">
        <is>
          <t>Functional</t>
        </is>
      </c>
      <c r="F55" s="28" t="inlineStr">
        <is>
          <t>Auth - Mobile Sign Up Location Input</t>
        </is>
      </c>
      <c r="G55" s="28" t="inlineStr">
        <is>
          <t>App active on mobile device / emulator</t>
        </is>
      </c>
      <c r="H55" s="28" t="inlineStr">
        <is>
          <t>1. Navigate to auth screen. 2. Enter location on mobile. 3. Verify mobile UI response.</t>
        </is>
      </c>
      <c r="I55" s="28" t="inlineStr">
        <is>
          <t>Downtown District 4</t>
        </is>
      </c>
      <c r="J55" s="28" t="inlineStr">
        <is>
          <t>Location input accepted cleanly</t>
        </is>
      </c>
      <c r="K55" s="28" t="inlineStr">
        <is>
          <t>As expected - Approved</t>
        </is>
      </c>
      <c r="L55" s="25" t="inlineStr">
        <is>
          <t>Pass</t>
        </is>
      </c>
      <c r="M55" s="27" t="inlineStr">
        <is>
          <t>Automated</t>
        </is>
      </c>
    </row>
    <row r="56">
      <c r="A56" s="22" t="inlineStr">
        <is>
          <t>TC_APP_055</t>
        </is>
      </c>
      <c r="B56" s="23" t="inlineStr">
        <is>
          <t>Mobile E2E</t>
        </is>
      </c>
      <c r="C56" s="24" t="inlineStr">
        <is>
          <t>Mobile Auth &amp; Role Toggling</t>
        </is>
      </c>
      <c r="D56" s="22" t="inlineStr">
        <is>
          <t>P1 - High</t>
        </is>
      </c>
      <c r="E56" s="23" t="inlineStr">
        <is>
          <t>Functional</t>
        </is>
      </c>
      <c r="F56" s="24" t="inlineStr">
        <is>
          <t>Auth - Mobile Sign Up GPS Auto-Location Button</t>
        </is>
      </c>
      <c r="G56" s="24" t="inlineStr">
        <is>
          <t>App active on mobile device / emulator</t>
        </is>
      </c>
      <c r="H56" s="24" t="inlineStr">
        <is>
          <t>1. Navigate to auth screen. 2. Tap 'Use current location' pin icon. 3. Verify mobile UI response.</t>
        </is>
      </c>
      <c r="I56" s="24" t="inlineStr">
        <is>
          <t>GPS location tap</t>
        </is>
      </c>
      <c r="J56" s="24" t="inlineStr">
        <is>
          <t>GPS gets device coordinates and populates Location field</t>
        </is>
      </c>
      <c r="K56" s="24" t="inlineStr">
        <is>
          <t>As expected - Approved</t>
        </is>
      </c>
      <c r="L56" s="25" t="inlineStr">
        <is>
          <t>Pass</t>
        </is>
      </c>
      <c r="M56" s="23" t="inlineStr">
        <is>
          <t>Automated</t>
        </is>
      </c>
    </row>
    <row r="57">
      <c r="A57" s="26" t="inlineStr">
        <is>
          <t>TC_APP_056</t>
        </is>
      </c>
      <c r="B57" s="27" t="inlineStr">
        <is>
          <t>Mobile E2E</t>
        </is>
      </c>
      <c r="C57" s="28" t="inlineStr">
        <is>
          <t>Mobile Auth &amp; Role Toggling</t>
        </is>
      </c>
      <c r="D57" s="26" t="inlineStr">
        <is>
          <t>P1 - High</t>
        </is>
      </c>
      <c r="E57" s="27" t="inlineStr">
        <is>
          <t>UI/UX</t>
        </is>
      </c>
      <c r="F57" s="28" t="inlineStr">
        <is>
          <t>Auth - Mobile Sign Up Submission Success</t>
        </is>
      </c>
      <c r="G57" s="28" t="inlineStr">
        <is>
          <t>App active on mobile device / emulator</t>
        </is>
      </c>
      <c r="H57" s="28" t="inlineStr">
        <is>
          <t>1. Navigate to auth screen. 2. Submit mobile registration form. 3. Verify mobile UI response.</t>
        </is>
      </c>
      <c r="I57" s="28" t="inlineStr">
        <is>
          <t>Valid registration payload</t>
        </is>
      </c>
      <c r="J57" s="28" t="inlineStr">
        <is>
          <t>Account created, welcome onboarding carousel launched</t>
        </is>
      </c>
      <c r="K57" s="28" t="inlineStr">
        <is>
          <t>As expected - Approved</t>
        </is>
      </c>
      <c r="L57" s="25" t="inlineStr">
        <is>
          <t>Pass</t>
        </is>
      </c>
      <c r="M57" s="27" t="inlineStr">
        <is>
          <t>Automated</t>
        </is>
      </c>
    </row>
    <row r="58">
      <c r="A58" s="22" t="inlineStr">
        <is>
          <t>TC_APP_057</t>
        </is>
      </c>
      <c r="B58" s="23" t="inlineStr">
        <is>
          <t>Mobile E2E</t>
        </is>
      </c>
      <c r="C58" s="24" t="inlineStr">
        <is>
          <t>Mobile Auth &amp; Role Toggling</t>
        </is>
      </c>
      <c r="D58" s="22" t="inlineStr">
        <is>
          <t>P1 - High</t>
        </is>
      </c>
      <c r="E58" s="23" t="inlineStr">
        <is>
          <t>UI/UX</t>
        </is>
      </c>
      <c r="F58" s="24" t="inlineStr">
        <is>
          <t>Auth - Mobile Logout Drawer Navigation</t>
        </is>
      </c>
      <c r="G58" s="24" t="inlineStr">
        <is>
          <t>App active on mobile device / emulator</t>
        </is>
      </c>
      <c r="H58" s="24" t="inlineStr">
        <is>
          <t>1. Navigate to auth screen. 2. Open mobile navigation drawer and tap Logout. 3. Verify mobile UI response.</t>
        </is>
      </c>
      <c r="I58" s="24" t="inlineStr">
        <is>
          <t>Logout button tap</t>
        </is>
      </c>
      <c r="J58" s="24" t="inlineStr">
        <is>
          <t>Token cleared, app returns to Mobile Auth view</t>
        </is>
      </c>
      <c r="K58" s="24" t="inlineStr">
        <is>
          <t>As expected - Approved</t>
        </is>
      </c>
      <c r="L58" s="25" t="inlineStr">
        <is>
          <t>Pass</t>
        </is>
      </c>
      <c r="M58" s="23" t="inlineStr">
        <is>
          <t>Automated</t>
        </is>
      </c>
    </row>
    <row r="59">
      <c r="A59" s="26" t="inlineStr">
        <is>
          <t>TC_APP_058</t>
        </is>
      </c>
      <c r="B59" s="27" t="inlineStr">
        <is>
          <t>Mobile E2E</t>
        </is>
      </c>
      <c r="C59" s="28" t="inlineStr">
        <is>
          <t>Mobile Auth &amp; Role Toggling</t>
        </is>
      </c>
      <c r="D59" s="26" t="inlineStr">
        <is>
          <t>P1 - High</t>
        </is>
      </c>
      <c r="E59" s="27" t="inlineStr">
        <is>
          <t>Security</t>
        </is>
      </c>
      <c r="F59" s="28" t="inlineStr">
        <is>
          <t>Auth - Mobile Session Token Keychain Storage</t>
        </is>
      </c>
      <c r="G59" s="28" t="inlineStr">
        <is>
          <t>App active on mobile device / emulator</t>
        </is>
      </c>
      <c r="H59" s="28" t="inlineStr">
        <is>
          <t>1. Navigate to auth screen. 2. Inspect Android EncryptedSharedPreferences. 3. Verify mobile UI response.</t>
        </is>
      </c>
      <c r="I59" s="28" t="inlineStr">
        <is>
          <t>KeyStore inspection</t>
        </is>
      </c>
      <c r="J59" s="28" t="inlineStr">
        <is>
          <t>Auth token stored in encrypted native storage</t>
        </is>
      </c>
      <c r="K59" s="28" t="inlineStr">
        <is>
          <t>As expected - Approved</t>
        </is>
      </c>
      <c r="L59" s="25" t="inlineStr">
        <is>
          <t>Pass</t>
        </is>
      </c>
      <c r="M59" s="27" t="inlineStr">
        <is>
          <t>Automated</t>
        </is>
      </c>
    </row>
    <row r="60">
      <c r="A60" s="22" t="inlineStr">
        <is>
          <t>TC_APP_059</t>
        </is>
      </c>
      <c r="B60" s="23" t="inlineStr">
        <is>
          <t>Mobile E2E</t>
        </is>
      </c>
      <c r="C60" s="24" t="inlineStr">
        <is>
          <t>Mobile Auth &amp; Role Toggling</t>
        </is>
      </c>
      <c r="D60" s="22" t="inlineStr">
        <is>
          <t>P1 - High</t>
        </is>
      </c>
      <c r="E60" s="23" t="inlineStr">
        <is>
          <t>Security</t>
        </is>
      </c>
      <c r="F60" s="24" t="inlineStr">
        <is>
          <t>Auth - Mobile Auth Cookie Persistence</t>
        </is>
      </c>
      <c r="G60" s="24" t="inlineStr">
        <is>
          <t>App active on mobile device / emulator</t>
        </is>
      </c>
      <c r="H60" s="24" t="inlineStr">
        <is>
          <t>1. Navigate to auth screen. 2. Inspect webview cookies. 3. Verify mobile UI response.</t>
        </is>
      </c>
      <c r="I60" s="24" t="inlineStr">
        <is>
          <t>Capacitor Cookies plugin</t>
        </is>
      </c>
      <c r="J60" s="24" t="inlineStr">
        <is>
          <t>Auth cookie synchronized across native and webview layer</t>
        </is>
      </c>
      <c r="K60" s="24" t="inlineStr">
        <is>
          <t>As expected - Approved</t>
        </is>
      </c>
      <c r="L60" s="25" t="inlineStr">
        <is>
          <t>Pass</t>
        </is>
      </c>
      <c r="M60" s="23" t="inlineStr">
        <is>
          <t>Manual</t>
        </is>
      </c>
    </row>
    <row r="61">
      <c r="A61" s="26" t="inlineStr">
        <is>
          <t>TC_APP_060</t>
        </is>
      </c>
      <c r="B61" s="27" t="inlineStr">
        <is>
          <t>Mobile E2E</t>
        </is>
      </c>
      <c r="C61" s="28" t="inlineStr">
        <is>
          <t>Mobile Auth &amp; Role Toggling</t>
        </is>
      </c>
      <c r="D61" s="26" t="inlineStr">
        <is>
          <t>P1 - High</t>
        </is>
      </c>
      <c r="E61" s="27" t="inlineStr">
        <is>
          <t>UI/UX</t>
        </is>
      </c>
      <c r="F61" s="28" t="inlineStr">
        <is>
          <t>Auth - Mobile Multi-Account Switcher</t>
        </is>
      </c>
      <c r="G61" s="28" t="inlineStr">
        <is>
          <t>App active on mobile device / emulator</t>
        </is>
      </c>
      <c r="H61" s="28" t="inlineStr">
        <is>
          <t>1. Navigate to auth screen. 2. Tap 'Switch Account' in mobile drawer. 3. Verify mobile UI response.</t>
        </is>
      </c>
      <c r="I61" s="28" t="inlineStr">
        <is>
          <t>Account switch action</t>
        </is>
      </c>
      <c r="J61" s="28" t="inlineStr">
        <is>
          <t>Presents account selection list with Add Account option</t>
        </is>
      </c>
      <c r="K61" s="28" t="inlineStr">
        <is>
          <t>As expected - Approved</t>
        </is>
      </c>
      <c r="L61" s="25" t="inlineStr">
        <is>
          <t>Pass</t>
        </is>
      </c>
      <c r="M61" s="27" t="inlineStr">
        <is>
          <t>Manual</t>
        </is>
      </c>
    </row>
    <row r="62">
      <c r="A62" s="22" t="inlineStr">
        <is>
          <t>TC_APP_061</t>
        </is>
      </c>
      <c r="B62" s="23" t="inlineStr">
        <is>
          <t>Mobile E2E</t>
        </is>
      </c>
      <c r="C62" s="24" t="inlineStr">
        <is>
          <t>Mobile Auth &amp; Role Toggling</t>
        </is>
      </c>
      <c r="D62" s="22" t="inlineStr">
        <is>
          <t>P1 - High</t>
        </is>
      </c>
      <c r="E62" s="23" t="inlineStr">
        <is>
          <t>UI/UX</t>
        </is>
      </c>
      <c r="F62" s="24" t="inlineStr">
        <is>
          <t>Auth - Mobile Device ID Binding</t>
        </is>
      </c>
      <c r="G62" s="24" t="inlineStr">
        <is>
          <t>App active on mobile device / emulator</t>
        </is>
      </c>
      <c r="H62" s="24" t="inlineStr">
        <is>
          <t>1. Navigate to auth screen. 2. Inspect login payload device metadata. 3. Verify mobile UI response.</t>
        </is>
      </c>
      <c r="I62" s="24" t="inlineStr">
        <is>
          <t>Device ID payload</t>
        </is>
      </c>
      <c r="J62" s="24" t="inlineStr">
        <is>
          <t>Includes secure device UUID for security tracking</t>
        </is>
      </c>
      <c r="K62" s="24" t="inlineStr">
        <is>
          <t>As expected - Approved</t>
        </is>
      </c>
      <c r="L62" s="25" t="inlineStr">
        <is>
          <t>Pass</t>
        </is>
      </c>
      <c r="M62" s="23" t="inlineStr">
        <is>
          <t>Manual</t>
        </is>
      </c>
    </row>
    <row r="63">
      <c r="A63" s="26" t="inlineStr">
        <is>
          <t>TC_APP_062</t>
        </is>
      </c>
      <c r="B63" s="27" t="inlineStr">
        <is>
          <t>Mobile E2E</t>
        </is>
      </c>
      <c r="C63" s="28" t="inlineStr">
        <is>
          <t>Mobile Auth &amp; Role Toggling</t>
        </is>
      </c>
      <c r="D63" s="26" t="inlineStr">
        <is>
          <t>P1 - High</t>
        </is>
      </c>
      <c r="E63" s="27" t="inlineStr">
        <is>
          <t>UI/UX</t>
        </is>
      </c>
      <c r="F63" s="28" t="inlineStr">
        <is>
          <t>Auth - Mobile Multi-Factor Authentication (MFA) Prompt</t>
        </is>
      </c>
      <c r="G63" s="28" t="inlineStr">
        <is>
          <t>App active on mobile device / emulator</t>
        </is>
      </c>
      <c r="H63" s="28" t="inlineStr">
        <is>
          <t>1. Navigate to auth screen. 2. Log in to MFA-enabled account. 3. Verify mobile UI response.</t>
        </is>
      </c>
      <c r="I63" s="28" t="inlineStr">
        <is>
          <t>MFA account login</t>
        </is>
      </c>
      <c r="J63" s="28" t="inlineStr">
        <is>
          <t>Native 6-digit OTP code input screen appears</t>
        </is>
      </c>
      <c r="K63" s="28" t="inlineStr">
        <is>
          <t>As expected - Approved</t>
        </is>
      </c>
      <c r="L63" s="25" t="inlineStr">
        <is>
          <t>Pass</t>
        </is>
      </c>
      <c r="M63" s="27" t="inlineStr">
        <is>
          <t>Manual</t>
        </is>
      </c>
    </row>
    <row r="64">
      <c r="A64" s="22" t="inlineStr">
        <is>
          <t>TC_APP_063</t>
        </is>
      </c>
      <c r="B64" s="23" t="inlineStr">
        <is>
          <t>Mobile E2E</t>
        </is>
      </c>
      <c r="C64" s="24" t="inlineStr">
        <is>
          <t>Mobile Auth &amp; Role Toggling</t>
        </is>
      </c>
      <c r="D64" s="22" t="inlineStr">
        <is>
          <t>P1 - High</t>
        </is>
      </c>
      <c r="E64" s="23" t="inlineStr">
        <is>
          <t>UI/UX</t>
        </is>
      </c>
      <c r="F64" s="24" t="inlineStr">
        <is>
          <t>Auth - Mobile OTP SMS Auto-Read</t>
        </is>
      </c>
      <c r="G64" s="24" t="inlineStr">
        <is>
          <t>App active on mobile device / emulator</t>
        </is>
      </c>
      <c r="H64" s="24" t="inlineStr">
        <is>
          <t>1. Navigate to auth screen. 2. Receive SMS with verification code. 3. Verify mobile UI response.</t>
        </is>
      </c>
      <c r="I64" s="24" t="inlineStr">
        <is>
          <t>SMS arrive event</t>
        </is>
      </c>
      <c r="J64" s="24" t="inlineStr">
        <is>
          <t>App auto-reads 6-digit OTP code from SMS payload</t>
        </is>
      </c>
      <c r="K64" s="24" t="inlineStr">
        <is>
          <t>As expected - Approved</t>
        </is>
      </c>
      <c r="L64" s="25" t="inlineStr">
        <is>
          <t>Pass</t>
        </is>
      </c>
      <c r="M64" s="23" t="inlineStr">
        <is>
          <t>Manual</t>
        </is>
      </c>
    </row>
    <row r="65">
      <c r="A65" s="26" t="inlineStr">
        <is>
          <t>TC_APP_064</t>
        </is>
      </c>
      <c r="B65" s="27" t="inlineStr">
        <is>
          <t>Mobile E2E</t>
        </is>
      </c>
      <c r="C65" s="28" t="inlineStr">
        <is>
          <t>Mobile Auth &amp; Role Toggling</t>
        </is>
      </c>
      <c r="D65" s="26" t="inlineStr">
        <is>
          <t>P1 - High</t>
        </is>
      </c>
      <c r="E65" s="27" t="inlineStr">
        <is>
          <t>UI/UX</t>
        </is>
      </c>
      <c r="F65" s="28" t="inlineStr">
        <is>
          <t>Auth - Mobile OTP Manual Entry</t>
        </is>
      </c>
      <c r="G65" s="28" t="inlineStr">
        <is>
          <t>App active on mobile device / emulator</t>
        </is>
      </c>
      <c r="H65" s="28" t="inlineStr">
        <is>
          <t>1. Navigate to auth screen. 2. Type 6-digit code manually. 3. Verify mobile UI response.</t>
        </is>
      </c>
      <c r="I65" s="28" t="inlineStr">
        <is>
          <t>Manual OTP entry</t>
        </is>
      </c>
      <c r="J65" s="28" t="inlineStr">
        <is>
          <t>Validates code and completes authentication</t>
        </is>
      </c>
      <c r="K65" s="28" t="inlineStr">
        <is>
          <t>As expected - Approved</t>
        </is>
      </c>
      <c r="L65" s="25" t="inlineStr">
        <is>
          <t>Pass</t>
        </is>
      </c>
      <c r="M65" s="27" t="inlineStr">
        <is>
          <t>Manual</t>
        </is>
      </c>
    </row>
    <row r="66">
      <c r="A66" s="22" t="inlineStr">
        <is>
          <t>TC_APP_065</t>
        </is>
      </c>
      <c r="B66" s="23" t="inlineStr">
        <is>
          <t>Mobile E2E</t>
        </is>
      </c>
      <c r="C66" s="24" t="inlineStr">
        <is>
          <t>Mobile Auth &amp; Role Toggling</t>
        </is>
      </c>
      <c r="D66" s="22" t="inlineStr">
        <is>
          <t>P1 - High</t>
        </is>
      </c>
      <c r="E66" s="23" t="inlineStr">
        <is>
          <t>UI/UX</t>
        </is>
      </c>
      <c r="F66" s="24" t="inlineStr">
        <is>
          <t>Auth - Mobile Remember Me Device Preference</t>
        </is>
      </c>
      <c r="G66" s="24" t="inlineStr">
        <is>
          <t>App active on mobile device / emulator</t>
        </is>
      </c>
      <c r="H66" s="24" t="inlineStr">
        <is>
          <t>1. Navigate to auth screen. 2. Toggle 'Remember this device'. 3. Verify mobile UI response.</t>
        </is>
      </c>
      <c r="I66" s="24" t="inlineStr">
        <is>
          <t>Toggle switch</t>
        </is>
      </c>
      <c r="J66" s="24" t="inlineStr">
        <is>
          <t>Preserves persistent refresh token on device</t>
        </is>
      </c>
      <c r="K66" s="24" t="inlineStr">
        <is>
          <t>As expected - Approved</t>
        </is>
      </c>
      <c r="L66" s="25" t="inlineStr">
        <is>
          <t>Pass</t>
        </is>
      </c>
      <c r="M66" s="23" t="inlineStr">
        <is>
          <t>Manual</t>
        </is>
      </c>
    </row>
    <row r="67">
      <c r="A67" s="26" t="inlineStr">
        <is>
          <t>TC_APP_066</t>
        </is>
      </c>
      <c r="B67" s="27" t="inlineStr">
        <is>
          <t>Mobile E2E</t>
        </is>
      </c>
      <c r="C67" s="28" t="inlineStr">
        <is>
          <t>Mobile Auth &amp; Role Toggling</t>
        </is>
      </c>
      <c r="D67" s="26" t="inlineStr">
        <is>
          <t>P2 - Medium</t>
        </is>
      </c>
      <c r="E67" s="27" t="inlineStr">
        <is>
          <t>UI/UX</t>
        </is>
      </c>
      <c r="F67" s="28" t="inlineStr">
        <is>
          <t>Auth - Mobile Password Reset Link Tap</t>
        </is>
      </c>
      <c r="G67" s="28" t="inlineStr">
        <is>
          <t>App active on mobile device / emulator</t>
        </is>
      </c>
      <c r="H67" s="28" t="inlineStr">
        <is>
          <t>1. Navigate to auth screen. 2. Tap 'Forgot Password?'. 3. Verify mobile UI response.</t>
        </is>
      </c>
      <c r="I67" s="28" t="inlineStr">
        <is>
          <t>Forgot password link</t>
        </is>
      </c>
      <c r="J67" s="28" t="inlineStr">
        <is>
          <t>Opens native mobile password recovery drawer</t>
        </is>
      </c>
      <c r="K67" s="28" t="inlineStr">
        <is>
          <t>As expected - Approved</t>
        </is>
      </c>
      <c r="L67" s="25" t="inlineStr">
        <is>
          <t>Pass</t>
        </is>
      </c>
      <c r="M67" s="27" t="inlineStr">
        <is>
          <t>Manual</t>
        </is>
      </c>
    </row>
    <row r="68">
      <c r="A68" s="22" t="inlineStr">
        <is>
          <t>TC_APP_067</t>
        </is>
      </c>
      <c r="B68" s="23" t="inlineStr">
        <is>
          <t>Mobile E2E</t>
        </is>
      </c>
      <c r="C68" s="24" t="inlineStr">
        <is>
          <t>Mobile Auth &amp; Role Toggling</t>
        </is>
      </c>
      <c r="D68" s="22" t="inlineStr">
        <is>
          <t>P2 - Medium</t>
        </is>
      </c>
      <c r="E68" s="23" t="inlineStr">
        <is>
          <t>UI/UX</t>
        </is>
      </c>
      <c r="F68" s="24" t="inlineStr">
        <is>
          <t>Auth - Mobile Password Reset Email Dispatch</t>
        </is>
      </c>
      <c r="G68" s="24" t="inlineStr">
        <is>
          <t>App active on mobile device / emulator</t>
        </is>
      </c>
      <c r="H68" s="24" t="inlineStr">
        <is>
          <t>1. Navigate to auth screen. 2. Enter email in recovery drawer. 3. Verify mobile UI response.</t>
        </is>
      </c>
      <c r="I68" s="24" t="inlineStr">
        <is>
          <t>user@sharebite.org</t>
        </is>
      </c>
      <c r="J68" s="24" t="inlineStr">
        <is>
          <t>Displays success notice: 'Password reset link sent'</t>
        </is>
      </c>
      <c r="K68" s="24" t="inlineStr">
        <is>
          <t>As expected - Approved</t>
        </is>
      </c>
      <c r="L68" s="25" t="inlineStr">
        <is>
          <t>Pass</t>
        </is>
      </c>
      <c r="M68" s="23" t="inlineStr">
        <is>
          <t>Manual</t>
        </is>
      </c>
    </row>
    <row r="69">
      <c r="A69" s="26" t="inlineStr">
        <is>
          <t>TC_APP_068</t>
        </is>
      </c>
      <c r="B69" s="27" t="inlineStr">
        <is>
          <t>Mobile E2E</t>
        </is>
      </c>
      <c r="C69" s="28" t="inlineStr">
        <is>
          <t>Mobile Auth &amp; Role Toggling</t>
        </is>
      </c>
      <c r="D69" s="26" t="inlineStr">
        <is>
          <t>P2 - Medium</t>
        </is>
      </c>
      <c r="E69" s="27" t="inlineStr">
        <is>
          <t>UI/UX</t>
        </is>
      </c>
      <c r="F69" s="28" t="inlineStr">
        <is>
          <t>Auth - Mobile Rate Limit Cooldown Display</t>
        </is>
      </c>
      <c r="G69" s="28" t="inlineStr">
        <is>
          <t>App active on mobile device / emulator</t>
        </is>
      </c>
      <c r="H69" s="28" t="inlineStr">
        <is>
          <t>1. Navigate to auth screen. 2. Attempt 5 failed logins on mobile. 3. Verify mobile UI response.</t>
        </is>
      </c>
      <c r="I69" s="28" t="inlineStr">
        <is>
          <t>5 quick invalid attempts</t>
        </is>
      </c>
      <c r="J69" s="28" t="inlineStr">
        <is>
          <t>Presents 60-second cooldown timer on mobile screen</t>
        </is>
      </c>
      <c r="K69" s="28" t="inlineStr">
        <is>
          <t>As expected - Approved</t>
        </is>
      </c>
      <c r="L69" s="25" t="inlineStr">
        <is>
          <t>Pass</t>
        </is>
      </c>
      <c r="M69" s="27" t="inlineStr">
        <is>
          <t>Manual</t>
        </is>
      </c>
    </row>
    <row r="70">
      <c r="A70" s="22" t="inlineStr">
        <is>
          <t>TC_APP_069</t>
        </is>
      </c>
      <c r="B70" s="23" t="inlineStr">
        <is>
          <t>Mobile E2E</t>
        </is>
      </c>
      <c r="C70" s="24" t="inlineStr">
        <is>
          <t>Mobile Auth &amp; Role Toggling</t>
        </is>
      </c>
      <c r="D70" s="22" t="inlineStr">
        <is>
          <t>P2 - Medium</t>
        </is>
      </c>
      <c r="E70" s="23" t="inlineStr">
        <is>
          <t>UI/UX</t>
        </is>
      </c>
      <c r="F70" s="24" t="inlineStr">
        <is>
          <t>Auth - Mobile Login Loading Spinner Animation</t>
        </is>
      </c>
      <c r="G70" s="24" t="inlineStr">
        <is>
          <t>App active on mobile device / emulator</t>
        </is>
      </c>
      <c r="H70" s="24" t="inlineStr">
        <is>
          <t>1. Navigate to auth screen. 2. Tap submit button. 3. Verify mobile UI response.</t>
        </is>
      </c>
      <c r="I70" s="24" t="inlineStr">
        <is>
          <t>Form submit event</t>
        </is>
      </c>
      <c r="J70" s="24" t="inlineStr">
        <is>
          <t>Smooth circular loading spinner replaces button text</t>
        </is>
      </c>
      <c r="K70" s="24" t="inlineStr">
        <is>
          <t>As expected - Approved</t>
        </is>
      </c>
      <c r="L70" s="25" t="inlineStr">
        <is>
          <t>Pass</t>
        </is>
      </c>
      <c r="M70" s="23" t="inlineStr">
        <is>
          <t>Manual</t>
        </is>
      </c>
    </row>
    <row r="71">
      <c r="A71" s="26" t="inlineStr">
        <is>
          <t>TC_APP_070</t>
        </is>
      </c>
      <c r="B71" s="27" t="inlineStr">
        <is>
          <t>Mobile E2E</t>
        </is>
      </c>
      <c r="C71" s="28" t="inlineStr">
        <is>
          <t>Mobile Auth &amp; Role Toggling</t>
        </is>
      </c>
      <c r="D71" s="26" t="inlineStr">
        <is>
          <t>P2 - Medium</t>
        </is>
      </c>
      <c r="E71" s="27" t="inlineStr">
        <is>
          <t>UI/UX</t>
        </is>
      </c>
      <c r="F71" s="28" t="inlineStr">
        <is>
          <t>Auth - Mobile Auth Transition Performance</t>
        </is>
      </c>
      <c r="G71" s="28" t="inlineStr">
        <is>
          <t>App active on mobile device / emulator</t>
        </is>
      </c>
      <c r="H71" s="28" t="inlineStr">
        <is>
          <t>1. Navigate to auth screen. 2. Benchmark screen transition duration. 3. Verify mobile UI response.</t>
        </is>
      </c>
      <c r="I71" s="28" t="inlineStr">
        <is>
          <t>Performance tracker</t>
        </is>
      </c>
      <c r="J71" s="28" t="inlineStr">
        <is>
          <t>Dashboard renders within 350ms post auth call</t>
        </is>
      </c>
      <c r="K71" s="28" t="inlineStr">
        <is>
          <t>As expected - Approved</t>
        </is>
      </c>
      <c r="L71" s="25" t="inlineStr">
        <is>
          <t>Pass</t>
        </is>
      </c>
      <c r="M71" s="27" t="inlineStr">
        <is>
          <t>Manual</t>
        </is>
      </c>
    </row>
    <row r="72">
      <c r="A72" s="22" t="inlineStr">
        <is>
          <t>TC_APP_071</t>
        </is>
      </c>
      <c r="B72" s="23" t="inlineStr">
        <is>
          <t>Mobile E2E</t>
        </is>
      </c>
      <c r="C72" s="24" t="inlineStr">
        <is>
          <t>Native &amp; Hybrid Context Switching</t>
        </is>
      </c>
      <c r="D72" s="22" t="inlineStr">
        <is>
          <t>P1 - High</t>
        </is>
      </c>
      <c r="E72" s="23" t="inlineStr">
        <is>
          <t>Functional</t>
        </is>
      </c>
      <c r="F72" s="24" t="inlineStr">
        <is>
          <t>Context - NATIVE_APP Context Enumeration</t>
        </is>
      </c>
      <c r="G72" s="24" t="inlineStr">
        <is>
          <t>Appium hybrid session active</t>
        </is>
      </c>
      <c r="H72" s="24" t="inlineStr">
        <is>
          <t>1. Query driver.getContexts(). 2. Inspect context bridge response.</t>
        </is>
      </c>
      <c r="I72" s="24" t="inlineStr">
        <is>
          <t>Appium getContexts call</t>
        </is>
      </c>
      <c r="J72" s="24" t="inlineStr">
        <is>
          <t>Returns ['NATIVE_APP', 'WEBVIEW_dev.sharebite.app']</t>
        </is>
      </c>
      <c r="K72" s="24" t="inlineStr">
        <is>
          <t>As expected - Approved</t>
        </is>
      </c>
      <c r="L72" s="25" t="inlineStr">
        <is>
          <t>Pass</t>
        </is>
      </c>
      <c r="M72" s="23" t="inlineStr">
        <is>
          <t>Automated</t>
        </is>
      </c>
    </row>
    <row r="73">
      <c r="A73" s="26" t="inlineStr">
        <is>
          <t>TC_APP_072</t>
        </is>
      </c>
      <c r="B73" s="27" t="inlineStr">
        <is>
          <t>Mobile E2E</t>
        </is>
      </c>
      <c r="C73" s="28" t="inlineStr">
        <is>
          <t>Native &amp; Hybrid Context Switching</t>
        </is>
      </c>
      <c r="D73" s="26" t="inlineStr">
        <is>
          <t>P1 - High</t>
        </is>
      </c>
      <c r="E73" s="27" t="inlineStr">
        <is>
          <t>Functional</t>
        </is>
      </c>
      <c r="F73" s="28" t="inlineStr">
        <is>
          <t>Context - Switch to WEBVIEW Context</t>
        </is>
      </c>
      <c r="G73" s="28" t="inlineStr">
        <is>
          <t>Appium hybrid session active</t>
        </is>
      </c>
      <c r="H73" s="28" t="inlineStr">
        <is>
          <t>1. Execute driver.switchContext('WEBVIEW'). 2. Inspect context bridge response.</t>
        </is>
      </c>
      <c r="I73" s="28" t="inlineStr">
        <is>
          <t>Context switch</t>
        </is>
      </c>
      <c r="J73" s="28" t="inlineStr">
        <is>
          <t>Driver successfully switches to Chromium/Safari WebView</t>
        </is>
      </c>
      <c r="K73" s="28" t="inlineStr">
        <is>
          <t>As expected - Approved</t>
        </is>
      </c>
      <c r="L73" s="25" t="inlineStr">
        <is>
          <t>Pass</t>
        </is>
      </c>
      <c r="M73" s="27" t="inlineStr">
        <is>
          <t>Automated</t>
        </is>
      </c>
    </row>
    <row r="74">
      <c r="A74" s="22" t="inlineStr">
        <is>
          <t>TC_APP_073</t>
        </is>
      </c>
      <c r="B74" s="23" t="inlineStr">
        <is>
          <t>Mobile E2E</t>
        </is>
      </c>
      <c r="C74" s="24" t="inlineStr">
        <is>
          <t>Native &amp; Hybrid Context Switching</t>
        </is>
      </c>
      <c r="D74" s="22" t="inlineStr">
        <is>
          <t>P1 - High</t>
        </is>
      </c>
      <c r="E74" s="23" t="inlineStr">
        <is>
          <t>Functional</t>
        </is>
      </c>
      <c r="F74" s="24" t="inlineStr">
        <is>
          <t>Context - Switch Back to NATIVE_APP Context</t>
        </is>
      </c>
      <c r="G74" s="24" t="inlineStr">
        <is>
          <t>Appium hybrid session active</t>
        </is>
      </c>
      <c r="H74" s="24" t="inlineStr">
        <is>
          <t>1. Execute driver.switchContext('NATIVE_APP'). 2. Inspect context bridge response.</t>
        </is>
      </c>
      <c r="I74" s="24" t="inlineStr">
        <is>
          <t>Context switch back</t>
        </is>
      </c>
      <c r="J74" s="24" t="inlineStr">
        <is>
          <t>Driver switches back to native Android view hierarchy</t>
        </is>
      </c>
      <c r="K74" s="24" t="inlineStr">
        <is>
          <t>As expected - Approved</t>
        </is>
      </c>
      <c r="L74" s="25" t="inlineStr">
        <is>
          <t>Pass</t>
        </is>
      </c>
      <c r="M74" s="23" t="inlineStr">
        <is>
          <t>Automated</t>
        </is>
      </c>
    </row>
    <row r="75">
      <c r="A75" s="26" t="inlineStr">
        <is>
          <t>TC_APP_074</t>
        </is>
      </c>
      <c r="B75" s="27" t="inlineStr">
        <is>
          <t>Mobile E2E</t>
        </is>
      </c>
      <c r="C75" s="28" t="inlineStr">
        <is>
          <t>Native &amp; Hybrid Context Switching</t>
        </is>
      </c>
      <c r="D75" s="26" t="inlineStr">
        <is>
          <t>P1 - High</t>
        </is>
      </c>
      <c r="E75" s="27" t="inlineStr">
        <is>
          <t>Functional</t>
        </is>
      </c>
      <c r="F75" s="28" t="inlineStr">
        <is>
          <t>Context - WebView DOM Element Selection</t>
        </is>
      </c>
      <c r="G75" s="28" t="inlineStr">
        <is>
          <t>Appium hybrid session active</t>
        </is>
      </c>
      <c r="H75" s="28" t="inlineStr">
        <is>
          <t>1. Locate input[name='email'] inside WebView. 2. Inspect context bridge response.</t>
        </is>
      </c>
      <c r="I75" s="28" t="inlineStr">
        <is>
          <t>CSS Selector</t>
        </is>
      </c>
      <c r="J75" s="28" t="inlineStr">
        <is>
          <t>Element found inside WebView DOM</t>
        </is>
      </c>
      <c r="K75" s="28" t="inlineStr">
        <is>
          <t>As expected - Approved</t>
        </is>
      </c>
      <c r="L75" s="25" t="inlineStr">
        <is>
          <t>Pass</t>
        </is>
      </c>
      <c r="M75" s="27" t="inlineStr">
        <is>
          <t>Automated</t>
        </is>
      </c>
    </row>
    <row r="76">
      <c r="A76" s="22" t="inlineStr">
        <is>
          <t>TC_APP_075</t>
        </is>
      </c>
      <c r="B76" s="23" t="inlineStr">
        <is>
          <t>Mobile E2E</t>
        </is>
      </c>
      <c r="C76" s="24" t="inlineStr">
        <is>
          <t>Native &amp; Hybrid Context Switching</t>
        </is>
      </c>
      <c r="D76" s="22" t="inlineStr">
        <is>
          <t>P1 - High</t>
        </is>
      </c>
      <c r="E76" s="23" t="inlineStr">
        <is>
          <t>Functional</t>
        </is>
      </c>
      <c r="F76" s="24" t="inlineStr">
        <is>
          <t>Context - Native Android Resource ID Selection</t>
        </is>
      </c>
      <c r="G76" s="24" t="inlineStr">
        <is>
          <t>Appium hybrid session active</t>
        </is>
      </c>
      <c r="H76" s="24" t="inlineStr">
        <is>
          <t>1. Locate element by accessibility id / resource id. 2. Inspect context bridge response.</t>
        </is>
      </c>
      <c r="I76" s="24" t="inlineStr">
        <is>
          <t>Appium findElement</t>
        </is>
      </c>
      <c r="J76" s="24" t="inlineStr">
        <is>
          <t>Native widget located successfully</t>
        </is>
      </c>
      <c r="K76" s="24" t="inlineStr">
        <is>
          <t>As expected - Approved</t>
        </is>
      </c>
      <c r="L76" s="25" t="inlineStr">
        <is>
          <t>Pass</t>
        </is>
      </c>
      <c r="M76" s="23" t="inlineStr">
        <is>
          <t>Automated</t>
        </is>
      </c>
    </row>
    <row r="77">
      <c r="A77" s="26" t="inlineStr">
        <is>
          <t>TC_APP_076</t>
        </is>
      </c>
      <c r="B77" s="27" t="inlineStr">
        <is>
          <t>Mobile E2E</t>
        </is>
      </c>
      <c r="C77" s="28" t="inlineStr">
        <is>
          <t>Native &amp; Hybrid Context Switching</t>
        </is>
      </c>
      <c r="D77" s="26" t="inlineStr">
        <is>
          <t>P1 - High</t>
        </is>
      </c>
      <c r="E77" s="27" t="inlineStr">
        <is>
          <t>Functional</t>
        </is>
      </c>
      <c r="F77" s="28" t="inlineStr">
        <is>
          <t>Context - Capacitor Native Plugin Bridge Interaction</t>
        </is>
      </c>
      <c r="G77" s="28" t="inlineStr">
        <is>
          <t>Appium hybrid session active</t>
        </is>
      </c>
      <c r="H77" s="28" t="inlineStr">
        <is>
          <t>1. Trigger Capacitor Haptics plugin from JS. 2. Inspect context bridge response.</t>
        </is>
      </c>
      <c r="I77" s="28" t="inlineStr">
        <is>
          <t>Bridge JS call</t>
        </is>
      </c>
      <c r="J77" s="28" t="inlineStr">
        <is>
          <t>Native Android HapticFeedbackManager triggered</t>
        </is>
      </c>
      <c r="K77" s="28" t="inlineStr">
        <is>
          <t>As expected - Approved</t>
        </is>
      </c>
      <c r="L77" s="25" t="inlineStr">
        <is>
          <t>Pass</t>
        </is>
      </c>
      <c r="M77" s="27" t="inlineStr">
        <is>
          <t>Automated</t>
        </is>
      </c>
    </row>
    <row r="78">
      <c r="A78" s="22" t="inlineStr">
        <is>
          <t>TC_APP_077</t>
        </is>
      </c>
      <c r="B78" s="23" t="inlineStr">
        <is>
          <t>Mobile E2E</t>
        </is>
      </c>
      <c r="C78" s="24" t="inlineStr">
        <is>
          <t>Native &amp; Hybrid Context Switching</t>
        </is>
      </c>
      <c r="D78" s="22" t="inlineStr">
        <is>
          <t>P1 - High</t>
        </is>
      </c>
      <c r="E78" s="23" t="inlineStr">
        <is>
          <t>Functional</t>
        </is>
      </c>
      <c r="F78" s="24" t="inlineStr">
        <is>
          <t>Context - Capacitor Status Bar Plugin Style Switch</t>
        </is>
      </c>
      <c r="G78" s="24" t="inlineStr">
        <is>
          <t>Appium hybrid session active</t>
        </is>
      </c>
      <c r="H78" s="24" t="inlineStr">
        <is>
          <t>1. Change status bar style to Dark. 2. Inspect context bridge response.</t>
        </is>
      </c>
      <c r="I78" s="24" t="inlineStr">
        <is>
          <t>StatusBar.setStyle()</t>
        </is>
      </c>
      <c r="J78" s="24" t="inlineStr">
        <is>
          <t>Android status bar background color updates</t>
        </is>
      </c>
      <c r="K78" s="24" t="inlineStr">
        <is>
          <t>As expected - Approved</t>
        </is>
      </c>
      <c r="L78" s="25" t="inlineStr">
        <is>
          <t>Pass</t>
        </is>
      </c>
      <c r="M78" s="23" t="inlineStr">
        <is>
          <t>Automated</t>
        </is>
      </c>
    </row>
    <row r="79">
      <c r="A79" s="26" t="inlineStr">
        <is>
          <t>TC_APP_078</t>
        </is>
      </c>
      <c r="B79" s="27" t="inlineStr">
        <is>
          <t>Mobile E2E</t>
        </is>
      </c>
      <c r="C79" s="28" t="inlineStr">
        <is>
          <t>Native &amp; Hybrid Context Switching</t>
        </is>
      </c>
      <c r="D79" s="26" t="inlineStr">
        <is>
          <t>P1 - High</t>
        </is>
      </c>
      <c r="E79" s="27" t="inlineStr">
        <is>
          <t>Functional</t>
        </is>
      </c>
      <c r="F79" s="28" t="inlineStr">
        <is>
          <t>Context - Capacitor Keyboard Plugin Event Handling</t>
        </is>
      </c>
      <c r="G79" s="28" t="inlineStr">
        <is>
          <t>Appium hybrid session active</t>
        </is>
      </c>
      <c r="H79" s="28" t="inlineStr">
        <is>
          <t>1. Trigger keyboardWillShow event. 2. Inspect context bridge response.</t>
        </is>
      </c>
      <c r="I79" s="28" t="inlineStr">
        <is>
          <t>Keyboard listener</t>
        </is>
      </c>
      <c r="J79" s="28" t="inlineStr">
        <is>
          <t>WebView resizes cleanly to prevent content occlusion</t>
        </is>
      </c>
      <c r="K79" s="28" t="inlineStr">
        <is>
          <t>As expected - Approved</t>
        </is>
      </c>
      <c r="L79" s="25" t="inlineStr">
        <is>
          <t>Pass</t>
        </is>
      </c>
      <c r="M79" s="27" t="inlineStr">
        <is>
          <t>Automated</t>
        </is>
      </c>
    </row>
    <row r="80">
      <c r="A80" s="22" t="inlineStr">
        <is>
          <t>TC_APP_079</t>
        </is>
      </c>
      <c r="B80" s="23" t="inlineStr">
        <is>
          <t>Mobile E2E</t>
        </is>
      </c>
      <c r="C80" s="24" t="inlineStr">
        <is>
          <t>Native &amp; Hybrid Context Switching</t>
        </is>
      </c>
      <c r="D80" s="22" t="inlineStr">
        <is>
          <t>P1 - High</t>
        </is>
      </c>
      <c r="E80" s="23" t="inlineStr">
        <is>
          <t>Functional</t>
        </is>
      </c>
      <c r="F80" s="24" t="inlineStr">
        <is>
          <t>Context - Capacitor Network Plugin Status Query</t>
        </is>
      </c>
      <c r="G80" s="24" t="inlineStr">
        <is>
          <t>Appium hybrid session active</t>
        </is>
      </c>
      <c r="H80" s="24" t="inlineStr">
        <is>
          <t>1. Call Network.getStatus() from webview. 2. Inspect context bridge response.</t>
        </is>
      </c>
      <c r="I80" s="24" t="inlineStr">
        <is>
          <t>Bridge API call</t>
        </is>
      </c>
      <c r="J80" s="24" t="inlineStr">
        <is>
          <t>Returns network status { connected: true, connectionType: 'wifi' }</t>
        </is>
      </c>
      <c r="K80" s="24" t="inlineStr">
        <is>
          <t>As expected - Approved</t>
        </is>
      </c>
      <c r="L80" s="25" t="inlineStr">
        <is>
          <t>Pass</t>
        </is>
      </c>
      <c r="M80" s="23" t="inlineStr">
        <is>
          <t>Automated</t>
        </is>
      </c>
    </row>
    <row r="81">
      <c r="A81" s="26" t="inlineStr">
        <is>
          <t>TC_APP_080</t>
        </is>
      </c>
      <c r="B81" s="27" t="inlineStr">
        <is>
          <t>Mobile E2E</t>
        </is>
      </c>
      <c r="C81" s="28" t="inlineStr">
        <is>
          <t>Native &amp; Hybrid Context Switching</t>
        </is>
      </c>
      <c r="D81" s="26" t="inlineStr">
        <is>
          <t>P1 - High</t>
        </is>
      </c>
      <c r="E81" s="27" t="inlineStr">
        <is>
          <t>Functional</t>
        </is>
      </c>
      <c r="F81" s="28" t="inlineStr">
        <is>
          <t>Context - Capacitor Device Info Plugin Integration</t>
        </is>
      </c>
      <c r="G81" s="28" t="inlineStr">
        <is>
          <t>Appium hybrid session active</t>
        </is>
      </c>
      <c r="H81" s="28" t="inlineStr">
        <is>
          <t>1. Call Device.getInfo() from webview. 2. Inspect context bridge response.</t>
        </is>
      </c>
      <c r="I81" s="28" t="inlineStr">
        <is>
          <t>Bridge API call</t>
        </is>
      </c>
      <c r="J81" s="28" t="inlineStr">
        <is>
          <t>Returns device model, OS version, and platform info</t>
        </is>
      </c>
      <c r="K81" s="28" t="inlineStr">
        <is>
          <t>As expected - Approved</t>
        </is>
      </c>
      <c r="L81" s="25" t="inlineStr">
        <is>
          <t>Pass</t>
        </is>
      </c>
      <c r="M81" s="27" t="inlineStr">
        <is>
          <t>Automated</t>
        </is>
      </c>
    </row>
    <row r="82">
      <c r="A82" s="22" t="inlineStr">
        <is>
          <t>TC_APP_081</t>
        </is>
      </c>
      <c r="B82" s="23" t="inlineStr">
        <is>
          <t>Mobile E2E</t>
        </is>
      </c>
      <c r="C82" s="24" t="inlineStr">
        <is>
          <t>Native &amp; Hybrid Context Switching</t>
        </is>
      </c>
      <c r="D82" s="22" t="inlineStr">
        <is>
          <t>P1 - High</t>
        </is>
      </c>
      <c r="E82" s="23" t="inlineStr">
        <is>
          <t>Functional</t>
        </is>
      </c>
      <c r="F82" s="24" t="inlineStr">
        <is>
          <t>Context - Capacitor Toast Plugin Trigger</t>
        </is>
      </c>
      <c r="G82" s="24" t="inlineStr">
        <is>
          <t>Appium hybrid session active</t>
        </is>
      </c>
      <c r="H82" s="24" t="inlineStr">
        <is>
          <t>1. Call Toast.show({ text: 'Claimed!' }). 2. Inspect context bridge response.</t>
        </is>
      </c>
      <c r="I82" s="24" t="inlineStr">
        <is>
          <t>Bridge API call</t>
        </is>
      </c>
      <c r="J82" s="24" t="inlineStr">
        <is>
          <t>Renders native Android toast banner over WebView</t>
        </is>
      </c>
      <c r="K82" s="24" t="inlineStr">
        <is>
          <t>As expected - Approved</t>
        </is>
      </c>
      <c r="L82" s="25" t="inlineStr">
        <is>
          <t>Pass</t>
        </is>
      </c>
      <c r="M82" s="23" t="inlineStr">
        <is>
          <t>Automated</t>
        </is>
      </c>
    </row>
    <row r="83">
      <c r="A83" s="26" t="inlineStr">
        <is>
          <t>TC_APP_082</t>
        </is>
      </c>
      <c r="B83" s="27" t="inlineStr">
        <is>
          <t>Mobile E2E</t>
        </is>
      </c>
      <c r="C83" s="28" t="inlineStr">
        <is>
          <t>Native &amp; Hybrid Context Switching</t>
        </is>
      </c>
      <c r="D83" s="26" t="inlineStr">
        <is>
          <t>P1 - High</t>
        </is>
      </c>
      <c r="E83" s="27" t="inlineStr">
        <is>
          <t>Functional</t>
        </is>
      </c>
      <c r="F83" s="28" t="inlineStr">
        <is>
          <t>Context - Capacitor Storage Plugin Read/Write</t>
        </is>
      </c>
      <c r="G83" s="28" t="inlineStr">
        <is>
          <t>Appium hybrid session active</t>
        </is>
      </c>
      <c r="H83" s="28" t="inlineStr">
        <is>
          <t>1. Write key-value pair via Preferences plugin. 2. Inspect context bridge response.</t>
        </is>
      </c>
      <c r="I83" s="28" t="inlineStr">
        <is>
          <t>Preferences.set()</t>
        </is>
      </c>
      <c r="J83" s="28" t="inlineStr">
        <is>
          <t>Data saved in native SharedPreferences backend</t>
        </is>
      </c>
      <c r="K83" s="28" t="inlineStr">
        <is>
          <t>As expected - Approved</t>
        </is>
      </c>
      <c r="L83" s="25" t="inlineStr">
        <is>
          <t>Pass</t>
        </is>
      </c>
      <c r="M83" s="27" t="inlineStr">
        <is>
          <t>Automated</t>
        </is>
      </c>
    </row>
    <row r="84">
      <c r="A84" s="22" t="inlineStr">
        <is>
          <t>TC_APP_083</t>
        </is>
      </c>
      <c r="B84" s="23" t="inlineStr">
        <is>
          <t>Mobile E2E</t>
        </is>
      </c>
      <c r="C84" s="24" t="inlineStr">
        <is>
          <t>Native &amp; Hybrid Context Switching</t>
        </is>
      </c>
      <c r="D84" s="22" t="inlineStr">
        <is>
          <t>P1 - High</t>
        </is>
      </c>
      <c r="E84" s="23" t="inlineStr">
        <is>
          <t>Functional</t>
        </is>
      </c>
      <c r="F84" s="24" t="inlineStr">
        <is>
          <t>Context - WebView JavaScript Injection Safety</t>
        </is>
      </c>
      <c r="G84" s="24" t="inlineStr">
        <is>
          <t>Appium hybrid session active</t>
        </is>
      </c>
      <c r="H84" s="24" t="inlineStr">
        <is>
          <t>1. Execute driver.executeScript() in WebView. 2. Inspect context bridge response.</t>
        </is>
      </c>
      <c r="I84" s="24" t="inlineStr">
        <is>
          <t>JS script execution</t>
        </is>
      </c>
      <c r="J84" s="24" t="inlineStr">
        <is>
          <t>Script executes within sandbox without security breach</t>
        </is>
      </c>
      <c r="K84" s="24" t="inlineStr">
        <is>
          <t>As expected - Approved</t>
        </is>
      </c>
      <c r="L84" s="25" t="inlineStr">
        <is>
          <t>Pass</t>
        </is>
      </c>
      <c r="M84" s="23" t="inlineStr">
        <is>
          <t>Automated</t>
        </is>
      </c>
    </row>
    <row r="85">
      <c r="A85" s="26" t="inlineStr">
        <is>
          <t>TC_APP_084</t>
        </is>
      </c>
      <c r="B85" s="27" t="inlineStr">
        <is>
          <t>Mobile E2E</t>
        </is>
      </c>
      <c r="C85" s="28" t="inlineStr">
        <is>
          <t>Native &amp; Hybrid Context Switching</t>
        </is>
      </c>
      <c r="D85" s="26" t="inlineStr">
        <is>
          <t>P1 - High</t>
        </is>
      </c>
      <c r="E85" s="27" t="inlineStr">
        <is>
          <t>Functional</t>
        </is>
      </c>
      <c r="F85" s="28" t="inlineStr">
        <is>
          <t>Context - WebView Console Log Interception</t>
        </is>
      </c>
      <c r="G85" s="28" t="inlineStr">
        <is>
          <t>Appium hybrid session active</t>
        </is>
      </c>
      <c r="H85" s="28" t="inlineStr">
        <is>
          <t>1. Inspect window.console logs from WebView. 2. Inspect context bridge response.</t>
        </is>
      </c>
      <c r="I85" s="28" t="inlineStr">
        <is>
          <t>DevTools Chrome inspect</t>
        </is>
      </c>
      <c r="J85" s="28" t="inlineStr">
        <is>
          <t>Console output piped to Appium driver logs</t>
        </is>
      </c>
      <c r="K85" s="28" t="inlineStr">
        <is>
          <t>As expected - Approved</t>
        </is>
      </c>
      <c r="L85" s="25" t="inlineStr">
        <is>
          <t>Pass</t>
        </is>
      </c>
      <c r="M85" s="27" t="inlineStr">
        <is>
          <t>Automated</t>
        </is>
      </c>
    </row>
    <row r="86">
      <c r="A86" s="22" t="inlineStr">
        <is>
          <t>TC_APP_085</t>
        </is>
      </c>
      <c r="B86" s="23" t="inlineStr">
        <is>
          <t>Mobile E2E</t>
        </is>
      </c>
      <c r="C86" s="24" t="inlineStr">
        <is>
          <t>Native &amp; Hybrid Context Switching</t>
        </is>
      </c>
      <c r="D86" s="22" t="inlineStr">
        <is>
          <t>P1 - High</t>
        </is>
      </c>
      <c r="E86" s="23" t="inlineStr">
        <is>
          <t>Functional</t>
        </is>
      </c>
      <c r="F86" s="24" t="inlineStr">
        <is>
          <t>Context - WebView Hardware Acceleration Check</t>
        </is>
      </c>
      <c r="G86" s="24" t="inlineStr">
        <is>
          <t>Appium hybrid session active</t>
        </is>
      </c>
      <c r="H86" s="24" t="inlineStr">
        <is>
          <t>1. Inspect webview rendering engine settings. 2. Inspect context bridge response.</t>
        </is>
      </c>
      <c r="I86" s="24" t="inlineStr">
        <is>
          <t>Android WebSettings</t>
        </is>
      </c>
      <c r="J86" s="24" t="inlineStr">
        <is>
          <t>Hardware acceleration enabled for 60 FPS rendering</t>
        </is>
      </c>
      <c r="K86" s="24" t="inlineStr">
        <is>
          <t>As expected - Approved</t>
        </is>
      </c>
      <c r="L86" s="25" t="inlineStr">
        <is>
          <t>Pass</t>
        </is>
      </c>
      <c r="M86" s="23" t="inlineStr">
        <is>
          <t>Automated</t>
        </is>
      </c>
    </row>
    <row r="87">
      <c r="A87" s="26" t="inlineStr">
        <is>
          <t>TC_APP_086</t>
        </is>
      </c>
      <c r="B87" s="27" t="inlineStr">
        <is>
          <t>Mobile E2E</t>
        </is>
      </c>
      <c r="C87" s="28" t="inlineStr">
        <is>
          <t>Native &amp; Hybrid Context Switching</t>
        </is>
      </c>
      <c r="D87" s="26" t="inlineStr">
        <is>
          <t>P1 - High</t>
        </is>
      </c>
      <c r="E87" s="27" t="inlineStr">
        <is>
          <t>Functional</t>
        </is>
      </c>
      <c r="F87" s="28" t="inlineStr">
        <is>
          <t>Context - WebView Custom User Agent String</t>
        </is>
      </c>
      <c r="G87" s="28" t="inlineStr">
        <is>
          <t>Appium hybrid session active</t>
        </is>
      </c>
      <c r="H87" s="28" t="inlineStr">
        <is>
          <t>1. Inspect navigator.userAgent inside WebView. 2. Inspect context bridge response.</t>
        </is>
      </c>
      <c r="I87" s="28" t="inlineStr">
        <is>
          <t>UserAgent string</t>
        </is>
      </c>
      <c r="J87" s="28" t="inlineStr">
        <is>
          <t>Includes 'ShareBiteApp/1.0 Capacitor' suffix</t>
        </is>
      </c>
      <c r="K87" s="28" t="inlineStr">
        <is>
          <t>As expected - Approved</t>
        </is>
      </c>
      <c r="L87" s="25" t="inlineStr">
        <is>
          <t>Pass</t>
        </is>
      </c>
      <c r="M87" s="27" t="inlineStr">
        <is>
          <t>Automated</t>
        </is>
      </c>
    </row>
    <row r="88">
      <c r="A88" s="22" t="inlineStr">
        <is>
          <t>TC_APP_087</t>
        </is>
      </c>
      <c r="B88" s="23" t="inlineStr">
        <is>
          <t>Mobile E2E</t>
        </is>
      </c>
      <c r="C88" s="24" t="inlineStr">
        <is>
          <t>Native &amp; Hybrid Context Switching</t>
        </is>
      </c>
      <c r="D88" s="22" t="inlineStr">
        <is>
          <t>P1 - High</t>
        </is>
      </c>
      <c r="E88" s="23" t="inlineStr">
        <is>
          <t>Functional</t>
        </is>
      </c>
      <c r="F88" s="24" t="inlineStr">
        <is>
          <t>Context - WebView Cache Clearance Action</t>
        </is>
      </c>
      <c r="G88" s="24" t="inlineStr">
        <is>
          <t>Appium hybrid session active</t>
        </is>
      </c>
      <c r="H88" s="24" t="inlineStr">
        <is>
          <t>1. Trigger WebView clearCache(true). 2. Inspect context bridge response.</t>
        </is>
      </c>
      <c r="I88" s="24" t="inlineStr">
        <is>
          <t>Clear cache API</t>
        </is>
      </c>
      <c r="J88" s="24" t="inlineStr">
        <is>
          <t>WebView temporary cache flushed cleanly</t>
        </is>
      </c>
      <c r="K88" s="24" t="inlineStr">
        <is>
          <t>As expected - Approved</t>
        </is>
      </c>
      <c r="L88" s="25" t="inlineStr">
        <is>
          <t>Pass</t>
        </is>
      </c>
      <c r="M88" s="23" t="inlineStr">
        <is>
          <t>Automated</t>
        </is>
      </c>
    </row>
    <row r="89">
      <c r="A89" s="26" t="inlineStr">
        <is>
          <t>TC_APP_088</t>
        </is>
      </c>
      <c r="B89" s="27" t="inlineStr">
        <is>
          <t>Mobile E2E</t>
        </is>
      </c>
      <c r="C89" s="28" t="inlineStr">
        <is>
          <t>Native &amp; Hybrid Context Switching</t>
        </is>
      </c>
      <c r="D89" s="26" t="inlineStr">
        <is>
          <t>P1 - High</t>
        </is>
      </c>
      <c r="E89" s="27" t="inlineStr">
        <is>
          <t>Functional</t>
        </is>
      </c>
      <c r="F89" s="28" t="inlineStr">
        <is>
          <t>Context - WebView Cookie Synchronization</t>
        </is>
      </c>
      <c r="G89" s="28" t="inlineStr">
        <is>
          <t>Appium hybrid session active</t>
        </is>
      </c>
      <c r="H89" s="28" t="inlineStr">
        <is>
          <t>1. Set cookie in WebView and check HTTP requests. 2. Inspect context bridge response.</t>
        </is>
      </c>
      <c r="I89" s="28" t="inlineStr">
        <is>
          <t>Cookie sync</t>
        </is>
      </c>
      <c r="J89" s="28" t="inlineStr">
        <is>
          <t>Cookies appended to all native XHR/Fetch headers</t>
        </is>
      </c>
      <c r="K89" s="28" t="inlineStr">
        <is>
          <t>As expected - Approved</t>
        </is>
      </c>
      <c r="L89" s="25" t="inlineStr">
        <is>
          <t>Pass</t>
        </is>
      </c>
      <c r="M89" s="27" t="inlineStr">
        <is>
          <t>Automated</t>
        </is>
      </c>
    </row>
    <row r="90">
      <c r="A90" s="22" t="inlineStr">
        <is>
          <t>TC_APP_089</t>
        </is>
      </c>
      <c r="B90" s="23" t="inlineStr">
        <is>
          <t>Mobile E2E</t>
        </is>
      </c>
      <c r="C90" s="24" t="inlineStr">
        <is>
          <t>Native &amp; Hybrid Context Switching</t>
        </is>
      </c>
      <c r="D90" s="22" t="inlineStr">
        <is>
          <t>P1 - High</t>
        </is>
      </c>
      <c r="E90" s="23" t="inlineStr">
        <is>
          <t>Performance</t>
        </is>
      </c>
      <c r="F90" s="24" t="inlineStr">
        <is>
          <t>Context - WebView LocalStorage Persistence</t>
        </is>
      </c>
      <c r="G90" s="24" t="inlineStr">
        <is>
          <t>Appium hybrid session active</t>
        </is>
      </c>
      <c r="H90" s="24" t="inlineStr">
        <is>
          <t>1. Write item to window.localStorage in WebView. 2. Inspect context bridge response.</t>
        </is>
      </c>
      <c r="I90" s="24" t="inlineStr">
        <is>
          <t>localStorage.setItem()</t>
        </is>
      </c>
      <c r="J90" s="24" t="inlineStr">
        <is>
          <t>Data persists across app restarts</t>
        </is>
      </c>
      <c r="K90" s="24" t="inlineStr">
        <is>
          <t>As expected - Approved</t>
        </is>
      </c>
      <c r="L90" s="25" t="inlineStr">
        <is>
          <t>Pass</t>
        </is>
      </c>
      <c r="M90" s="23" t="inlineStr">
        <is>
          <t>Automated</t>
        </is>
      </c>
    </row>
    <row r="91">
      <c r="A91" s="26" t="inlineStr">
        <is>
          <t>TC_APP_090</t>
        </is>
      </c>
      <c r="B91" s="27" t="inlineStr">
        <is>
          <t>Mobile E2E</t>
        </is>
      </c>
      <c r="C91" s="28" t="inlineStr">
        <is>
          <t>Native &amp; Hybrid Context Switching</t>
        </is>
      </c>
      <c r="D91" s="26" t="inlineStr">
        <is>
          <t>P1 - High</t>
        </is>
      </c>
      <c r="E91" s="27" t="inlineStr">
        <is>
          <t>Performance</t>
        </is>
      </c>
      <c r="F91" s="28" t="inlineStr">
        <is>
          <t>Context - WebView IndexedDB Storage Access</t>
        </is>
      </c>
      <c r="G91" s="28" t="inlineStr">
        <is>
          <t>Appium hybrid session active</t>
        </is>
      </c>
      <c r="H91" s="28" t="inlineStr">
        <is>
          <t>1. Store food item offline cache in IndexedDB. 2. Inspect context bridge response.</t>
        </is>
      </c>
      <c r="I91" s="28" t="inlineStr">
        <is>
          <t>IndexedDB write</t>
        </is>
      </c>
      <c r="J91" s="28" t="inlineStr">
        <is>
          <t>Database stores local offline listings cleanly</t>
        </is>
      </c>
      <c r="K91" s="28" t="inlineStr">
        <is>
          <t>As expected - Approved</t>
        </is>
      </c>
      <c r="L91" s="25" t="inlineStr">
        <is>
          <t>Pass</t>
        </is>
      </c>
      <c r="M91" s="27" t="inlineStr">
        <is>
          <t>Automated</t>
        </is>
      </c>
    </row>
    <row r="92">
      <c r="A92" s="22" t="inlineStr">
        <is>
          <t>TC_APP_091</t>
        </is>
      </c>
      <c r="B92" s="23" t="inlineStr">
        <is>
          <t>Mobile E2E</t>
        </is>
      </c>
      <c r="C92" s="24" t="inlineStr">
        <is>
          <t>Native &amp; Hybrid Context Switching</t>
        </is>
      </c>
      <c r="D92" s="22" t="inlineStr">
        <is>
          <t>P2 - Medium</t>
        </is>
      </c>
      <c r="E92" s="23" t="inlineStr">
        <is>
          <t>Performance</t>
        </is>
      </c>
      <c r="F92" s="24" t="inlineStr">
        <is>
          <t>Context - WebView Viewport Meta Scaling</t>
        </is>
      </c>
      <c r="G92" s="24" t="inlineStr">
        <is>
          <t>Appium hybrid session active</t>
        </is>
      </c>
      <c r="H92" s="24" t="inlineStr">
        <is>
          <t>1. Inspect meta viewport tag inside WebView. 2. Inspect context bridge response.</t>
        </is>
      </c>
      <c r="I92" s="24" t="inlineStr">
        <is>
          <t>Viewport tag</t>
        </is>
      </c>
      <c r="J92" s="24" t="inlineStr">
        <is>
          <t>Scales correctly without unconstrained pinch zoom</t>
        </is>
      </c>
      <c r="K92" s="24" t="inlineStr">
        <is>
          <t>As expected - Approved</t>
        </is>
      </c>
      <c r="L92" s="25" t="inlineStr">
        <is>
          <t>Pass</t>
        </is>
      </c>
      <c r="M92" s="23" t="inlineStr">
        <is>
          <t>Automated</t>
        </is>
      </c>
    </row>
    <row r="93">
      <c r="A93" s="26" t="inlineStr">
        <is>
          <t>TC_APP_092</t>
        </is>
      </c>
      <c r="B93" s="27" t="inlineStr">
        <is>
          <t>Mobile E2E</t>
        </is>
      </c>
      <c r="C93" s="28" t="inlineStr">
        <is>
          <t>Native &amp; Hybrid Context Switching</t>
        </is>
      </c>
      <c r="D93" s="26" t="inlineStr">
        <is>
          <t>P2 - Medium</t>
        </is>
      </c>
      <c r="E93" s="27" t="inlineStr">
        <is>
          <t>Performance</t>
        </is>
      </c>
      <c r="F93" s="28" t="inlineStr">
        <is>
          <t>Context - WebView CORS Preflight Handling</t>
        </is>
      </c>
      <c r="G93" s="28" t="inlineStr">
        <is>
          <t>Appium hybrid session active</t>
        </is>
      </c>
      <c r="H93" s="28" t="inlineStr">
        <is>
          <t>1. Fetch API endpoint from WebView. 2. Inspect context bridge response.</t>
        </is>
      </c>
      <c r="I93" s="28" t="inlineStr">
        <is>
          <t>CORS request</t>
        </is>
      </c>
      <c r="J93" s="28" t="inlineStr">
        <is>
          <t>Native webview respects HTTPS CORS origins</t>
        </is>
      </c>
      <c r="K93" s="28" t="inlineStr">
        <is>
          <t>As expected - Approved</t>
        </is>
      </c>
      <c r="L93" s="25" t="inlineStr">
        <is>
          <t>Pass</t>
        </is>
      </c>
      <c r="M93" s="27" t="inlineStr">
        <is>
          <t>Automated</t>
        </is>
      </c>
    </row>
    <row r="94">
      <c r="A94" s="22" t="inlineStr">
        <is>
          <t>TC_APP_093</t>
        </is>
      </c>
      <c r="B94" s="23" t="inlineStr">
        <is>
          <t>Mobile E2E</t>
        </is>
      </c>
      <c r="C94" s="24" t="inlineStr">
        <is>
          <t>Native &amp; Hybrid Context Switching</t>
        </is>
      </c>
      <c r="D94" s="22" t="inlineStr">
        <is>
          <t>P2 - Medium</t>
        </is>
      </c>
      <c r="E94" s="23" t="inlineStr">
        <is>
          <t>Performance</t>
        </is>
      </c>
      <c r="F94" s="24" t="inlineStr">
        <is>
          <t>Context - WebView File Chooser Access</t>
        </is>
      </c>
      <c r="G94" s="24" t="inlineStr">
        <is>
          <t>Appium hybrid session active</t>
        </is>
      </c>
      <c r="H94" s="24" t="inlineStr">
        <is>
          <t>1. Click file upload button in WebView. 2. Inspect context bridge response.</t>
        </is>
      </c>
      <c r="I94" s="24" t="inlineStr">
        <is>
          <t>Input type file</t>
        </is>
      </c>
      <c r="J94" s="24" t="inlineStr">
        <is>
          <t>Android system native File Chooser dialog opens</t>
        </is>
      </c>
      <c r="K94" s="24" t="inlineStr">
        <is>
          <t>As expected - Approved</t>
        </is>
      </c>
      <c r="L94" s="25" t="inlineStr">
        <is>
          <t>Pass</t>
        </is>
      </c>
      <c r="M94" s="23" t="inlineStr">
        <is>
          <t>Manual</t>
        </is>
      </c>
    </row>
    <row r="95">
      <c r="A95" s="26" t="inlineStr">
        <is>
          <t>TC_APP_094</t>
        </is>
      </c>
      <c r="B95" s="27" t="inlineStr">
        <is>
          <t>Mobile E2E</t>
        </is>
      </c>
      <c r="C95" s="28" t="inlineStr">
        <is>
          <t>Native &amp; Hybrid Context Switching</t>
        </is>
      </c>
      <c r="D95" s="26" t="inlineStr">
        <is>
          <t>P2 - Medium</t>
        </is>
      </c>
      <c r="E95" s="27" t="inlineStr">
        <is>
          <t>Performance</t>
        </is>
      </c>
      <c r="F95" s="28" t="inlineStr">
        <is>
          <t>Context - WebView Geolocation API Access</t>
        </is>
      </c>
      <c r="G95" s="28" t="inlineStr">
        <is>
          <t>Appium hybrid session active</t>
        </is>
      </c>
      <c r="H95" s="28" t="inlineStr">
        <is>
          <t>1. Call navigator.geolocation in WebView. 2. Inspect context bridge response.</t>
        </is>
      </c>
      <c r="I95" s="28" t="inlineStr">
        <is>
          <t>HTML5 Geolocation</t>
        </is>
      </c>
      <c r="J95" s="28" t="inlineStr">
        <is>
          <t>Delegates permission request to native Android OS</t>
        </is>
      </c>
      <c r="K95" s="28" t="inlineStr">
        <is>
          <t>As expected - Approved</t>
        </is>
      </c>
      <c r="L95" s="25" t="inlineStr">
        <is>
          <t>Pass</t>
        </is>
      </c>
      <c r="M95" s="27" t="inlineStr">
        <is>
          <t>Manual</t>
        </is>
      </c>
    </row>
    <row r="96">
      <c r="A96" s="22" t="inlineStr">
        <is>
          <t>TC_APP_095</t>
        </is>
      </c>
      <c r="B96" s="23" t="inlineStr">
        <is>
          <t>Mobile E2E</t>
        </is>
      </c>
      <c r="C96" s="24" t="inlineStr">
        <is>
          <t>Native &amp; Hybrid Context Switching</t>
        </is>
      </c>
      <c r="D96" s="22" t="inlineStr">
        <is>
          <t>P2 - Medium</t>
        </is>
      </c>
      <c r="E96" s="23" t="inlineStr">
        <is>
          <t>Performance</t>
        </is>
      </c>
      <c r="F96" s="24" t="inlineStr">
        <is>
          <t>Context - WebView Camera Capture Access</t>
        </is>
      </c>
      <c r="G96" s="24" t="inlineStr">
        <is>
          <t>Appium hybrid session active</t>
        </is>
      </c>
      <c r="H96" s="24" t="inlineStr">
        <is>
          <t>1. Click camera capture in WebView. 2. Inspect context bridge response.</t>
        </is>
      </c>
      <c r="I96" s="24" t="inlineStr">
        <is>
          <t>HTML5 MediaDevices</t>
        </is>
      </c>
      <c r="J96" s="24" t="inlineStr">
        <is>
          <t>Launches native Android Camera preview window</t>
        </is>
      </c>
      <c r="K96" s="24" t="inlineStr">
        <is>
          <t>As expected - Approved</t>
        </is>
      </c>
      <c r="L96" s="25" t="inlineStr">
        <is>
          <t>Pass</t>
        </is>
      </c>
      <c r="M96" s="23" t="inlineStr">
        <is>
          <t>Manual</t>
        </is>
      </c>
    </row>
    <row r="97">
      <c r="A97" s="26" t="inlineStr">
        <is>
          <t>TC_APP_096</t>
        </is>
      </c>
      <c r="B97" s="27" t="inlineStr">
        <is>
          <t>Mobile E2E</t>
        </is>
      </c>
      <c r="C97" s="28" t="inlineStr">
        <is>
          <t>Native &amp; Hybrid Context Switching</t>
        </is>
      </c>
      <c r="D97" s="26" t="inlineStr">
        <is>
          <t>P2 - Medium</t>
        </is>
      </c>
      <c r="E97" s="27" t="inlineStr">
        <is>
          <t>Performance</t>
        </is>
      </c>
      <c r="F97" s="28" t="inlineStr">
        <is>
          <t>Context - WebView Download Manager Integration</t>
        </is>
      </c>
      <c r="G97" s="28" t="inlineStr">
        <is>
          <t>Appium hybrid session active</t>
        </is>
      </c>
      <c r="H97" s="28" t="inlineStr">
        <is>
          <t>1. Click PDF report download link in WebView. 2. Inspect context bridge response.</t>
        </is>
      </c>
      <c r="I97" s="28" t="inlineStr">
        <is>
          <t>Download trigger</t>
        </is>
      </c>
      <c r="J97" s="28" t="inlineStr">
        <is>
          <t>Android DownloadManager saves file to Downloads folder</t>
        </is>
      </c>
      <c r="K97" s="28" t="inlineStr">
        <is>
          <t>As expected - Approved</t>
        </is>
      </c>
      <c r="L97" s="25" t="inlineStr">
        <is>
          <t>Pass</t>
        </is>
      </c>
      <c r="M97" s="27" t="inlineStr">
        <is>
          <t>Manual</t>
        </is>
      </c>
    </row>
    <row r="98">
      <c r="A98" s="22" t="inlineStr">
        <is>
          <t>TC_APP_097</t>
        </is>
      </c>
      <c r="B98" s="23" t="inlineStr">
        <is>
          <t>Mobile E2E</t>
        </is>
      </c>
      <c r="C98" s="24" t="inlineStr">
        <is>
          <t>Native &amp; Hybrid Context Switching</t>
        </is>
      </c>
      <c r="D98" s="22" t="inlineStr">
        <is>
          <t>P2 - Medium</t>
        </is>
      </c>
      <c r="E98" s="23" t="inlineStr">
        <is>
          <t>Performance</t>
        </is>
      </c>
      <c r="F98" s="24" t="inlineStr">
        <is>
          <t>Context - WebView SSL Certificate Error Handling</t>
        </is>
      </c>
      <c r="G98" s="24" t="inlineStr">
        <is>
          <t>Appium hybrid session active</t>
        </is>
      </c>
      <c r="H98" s="24" t="inlineStr">
        <is>
          <t>1. Attempt connecting to invalid SSL host. 2. Inspect context bridge response.</t>
        </is>
      </c>
      <c r="I98" s="24" t="inlineStr">
        <is>
          <t>Invalid SSL host</t>
        </is>
      </c>
      <c r="J98" s="24" t="inlineStr">
        <is>
          <t>WebView blocks connection with secure error warning</t>
        </is>
      </c>
      <c r="K98" s="24" t="inlineStr">
        <is>
          <t>As expected - Approved</t>
        </is>
      </c>
      <c r="L98" s="25" t="inlineStr">
        <is>
          <t>Pass</t>
        </is>
      </c>
      <c r="M98" s="23" t="inlineStr">
        <is>
          <t>Manual</t>
        </is>
      </c>
    </row>
    <row r="99">
      <c r="A99" s="26" t="inlineStr">
        <is>
          <t>TC_APP_098</t>
        </is>
      </c>
      <c r="B99" s="27" t="inlineStr">
        <is>
          <t>Mobile E2E</t>
        </is>
      </c>
      <c r="C99" s="28" t="inlineStr">
        <is>
          <t>Native &amp; Hybrid Context Switching</t>
        </is>
      </c>
      <c r="D99" s="26" t="inlineStr">
        <is>
          <t>P2 - Medium</t>
        </is>
      </c>
      <c r="E99" s="27" t="inlineStr">
        <is>
          <t>Performance</t>
        </is>
      </c>
      <c r="F99" s="28" t="inlineStr">
        <is>
          <t>Context - WebView Multi-Window Popup Prevention</t>
        </is>
      </c>
      <c r="G99" s="28" t="inlineStr">
        <is>
          <t>Appium hybrid session active</t>
        </is>
      </c>
      <c r="H99" s="28" t="inlineStr">
        <is>
          <t>1. Click window.open() link in WebView. 2. Inspect context bridge response.</t>
        </is>
      </c>
      <c r="I99" s="28" t="inlineStr">
        <is>
          <t>Popup request</t>
        </is>
      </c>
      <c r="J99" s="28" t="inlineStr">
        <is>
          <t>Link opens in system browser or controlled web view</t>
        </is>
      </c>
      <c r="K99" s="28" t="inlineStr">
        <is>
          <t>As expected - Approved</t>
        </is>
      </c>
      <c r="L99" s="25" t="inlineStr">
        <is>
          <t>Pass</t>
        </is>
      </c>
      <c r="M99" s="27" t="inlineStr">
        <is>
          <t>Manual</t>
        </is>
      </c>
    </row>
    <row r="100">
      <c r="A100" s="22" t="inlineStr">
        <is>
          <t>TC_APP_099</t>
        </is>
      </c>
      <c r="B100" s="23" t="inlineStr">
        <is>
          <t>Mobile E2E</t>
        </is>
      </c>
      <c r="C100" s="24" t="inlineStr">
        <is>
          <t>Native &amp; Hybrid Context Switching</t>
        </is>
      </c>
      <c r="D100" s="22" t="inlineStr">
        <is>
          <t>P2 - Medium</t>
        </is>
      </c>
      <c r="E100" s="23" t="inlineStr">
        <is>
          <t>Performance</t>
        </is>
      </c>
      <c r="F100" s="24" t="inlineStr">
        <is>
          <t>Context - WebView Process Crash Recovery</t>
        </is>
      </c>
      <c r="G100" s="24" t="inlineStr">
        <is>
          <t>Appium hybrid session active</t>
        </is>
      </c>
      <c r="H100" s="24" t="inlineStr">
        <is>
          <t>1. Simulate webview render process kill. 2. Inspect context bridge response.</t>
        </is>
      </c>
      <c r="I100" s="24" t="inlineStr">
        <is>
          <t>Process kill event</t>
        </is>
      </c>
      <c r="J100" s="24" t="inlineStr">
        <is>
          <t>App reloads webview automatically without app crash</t>
        </is>
      </c>
      <c r="K100" s="24" t="inlineStr">
        <is>
          <t>As expected - Approved</t>
        </is>
      </c>
      <c r="L100" s="25" t="inlineStr">
        <is>
          <t>Pass</t>
        </is>
      </c>
      <c r="M100" s="23" t="inlineStr">
        <is>
          <t>Manual</t>
        </is>
      </c>
    </row>
    <row r="101">
      <c r="A101" s="26" t="inlineStr">
        <is>
          <t>TC_APP_100</t>
        </is>
      </c>
      <c r="B101" s="27" t="inlineStr">
        <is>
          <t>Mobile E2E</t>
        </is>
      </c>
      <c r="C101" s="28" t="inlineStr">
        <is>
          <t>Native &amp; Hybrid Context Switching</t>
        </is>
      </c>
      <c r="D101" s="26" t="inlineStr">
        <is>
          <t>P2 - Medium</t>
        </is>
      </c>
      <c r="E101" s="27" t="inlineStr">
        <is>
          <t>Performance</t>
        </is>
      </c>
      <c r="F101" s="28" t="inlineStr">
        <is>
          <t>Context - WebView Performance FPS Benchmark</t>
        </is>
      </c>
      <c r="G101" s="28" t="inlineStr">
        <is>
          <t>Appium hybrid session active</t>
        </is>
      </c>
      <c r="H101" s="28" t="inlineStr">
        <is>
          <t>1. Measure webview CSS animation frame rate. 2. Inspect context bridge response.</t>
        </is>
      </c>
      <c r="I101" s="28" t="inlineStr">
        <is>
          <t>Render profiler</t>
        </is>
      </c>
      <c r="J101" s="28" t="inlineStr">
        <is>
          <t>Maintains stable 60 FPS frame rate</t>
        </is>
      </c>
      <c r="K101" s="28" t="inlineStr">
        <is>
          <t>As expected - Approved</t>
        </is>
      </c>
      <c r="L101" s="25" t="inlineStr">
        <is>
          <t>Pass</t>
        </is>
      </c>
      <c r="M101" s="27" t="inlineStr">
        <is>
          <t>Manual</t>
        </is>
      </c>
    </row>
    <row r="102">
      <c r="A102" s="22" t="inlineStr">
        <is>
          <t>TC_APP_101</t>
        </is>
      </c>
      <c r="B102" s="23" t="inlineStr">
        <is>
          <t>Mobile E2E</t>
        </is>
      </c>
      <c r="C102" s="24" t="inlineStr">
        <is>
          <t>Touch Gestures &amp; Navigation</t>
        </is>
      </c>
      <c r="D102" s="22" t="inlineStr">
        <is>
          <t>P1 - High</t>
        </is>
      </c>
      <c r="E102" s="23" t="inlineStr">
        <is>
          <t>Functional</t>
        </is>
      </c>
      <c r="F102" s="24" t="inlineStr">
        <is>
          <t>Gesture - Single Tap Selection</t>
        </is>
      </c>
      <c r="G102" s="24" t="inlineStr">
        <is>
          <t>Mobile touch screen active</t>
        </is>
      </c>
      <c r="H102" s="24" t="inlineStr">
        <is>
          <t>1. Tap element on touch screen. 2. Observe gesture response.</t>
        </is>
      </c>
      <c r="I102" s="24" t="inlineStr">
        <is>
          <t>Tap action</t>
        </is>
      </c>
      <c r="J102" s="24" t="inlineStr">
        <is>
          <t>Element triggers click event instantly</t>
        </is>
      </c>
      <c r="K102" s="24" t="inlineStr">
        <is>
          <t>As expected - Approved</t>
        </is>
      </c>
      <c r="L102" s="25" t="inlineStr">
        <is>
          <t>Pass</t>
        </is>
      </c>
      <c r="M102" s="23" t="inlineStr">
        <is>
          <t>Automated</t>
        </is>
      </c>
    </row>
    <row r="103">
      <c r="A103" s="26" t="inlineStr">
        <is>
          <t>TC_APP_102</t>
        </is>
      </c>
      <c r="B103" s="27" t="inlineStr">
        <is>
          <t>Mobile E2E</t>
        </is>
      </c>
      <c r="C103" s="28" t="inlineStr">
        <is>
          <t>Touch Gestures &amp; Navigation</t>
        </is>
      </c>
      <c r="D103" s="26" t="inlineStr">
        <is>
          <t>P1 - High</t>
        </is>
      </c>
      <c r="E103" s="27" t="inlineStr">
        <is>
          <t>Functional</t>
        </is>
      </c>
      <c r="F103" s="28" t="inlineStr">
        <is>
          <t>Gesture - Double Tap Zoom Action</t>
        </is>
      </c>
      <c r="G103" s="28" t="inlineStr">
        <is>
          <t>Mobile touch screen active</t>
        </is>
      </c>
      <c r="H103" s="28" t="inlineStr">
        <is>
          <t>1. Double tap food listing image. 2. Observe gesture response.</t>
        </is>
      </c>
      <c r="I103" s="28" t="inlineStr">
        <is>
          <t>Double tap action</t>
        </is>
      </c>
      <c r="J103" s="28" t="inlineStr">
        <is>
          <t>Image zooms to 200% magnification</t>
        </is>
      </c>
      <c r="K103" s="28" t="inlineStr">
        <is>
          <t>As expected - Approved</t>
        </is>
      </c>
      <c r="L103" s="25" t="inlineStr">
        <is>
          <t>Pass</t>
        </is>
      </c>
      <c r="M103" s="27" t="inlineStr">
        <is>
          <t>Automated</t>
        </is>
      </c>
    </row>
    <row r="104">
      <c r="A104" s="22" t="inlineStr">
        <is>
          <t>TC_APP_103</t>
        </is>
      </c>
      <c r="B104" s="23" t="inlineStr">
        <is>
          <t>Mobile E2E</t>
        </is>
      </c>
      <c r="C104" s="24" t="inlineStr">
        <is>
          <t>Touch Gestures &amp; Navigation</t>
        </is>
      </c>
      <c r="D104" s="22" t="inlineStr">
        <is>
          <t>P1 - High</t>
        </is>
      </c>
      <c r="E104" s="23" t="inlineStr">
        <is>
          <t>Functional</t>
        </is>
      </c>
      <c r="F104" s="24" t="inlineStr">
        <is>
          <t>Gesture - Long Press Context Menu</t>
        </is>
      </c>
      <c r="G104" s="24" t="inlineStr">
        <is>
          <t>Mobile touch screen active</t>
        </is>
      </c>
      <c r="H104" s="24" t="inlineStr">
        <is>
          <t>1. Long press item card for 1.5 seconds. 2. Observe gesture response.</t>
        </is>
      </c>
      <c r="I104" s="24" t="inlineStr">
        <is>
          <t>Long press action</t>
        </is>
      </c>
      <c r="J104" s="24" t="inlineStr">
        <is>
          <t>Mobile context action sheet opens (Share, Bookmark, Report)</t>
        </is>
      </c>
      <c r="K104" s="24" t="inlineStr">
        <is>
          <t>As expected - Approved</t>
        </is>
      </c>
      <c r="L104" s="25" t="inlineStr">
        <is>
          <t>Pass</t>
        </is>
      </c>
      <c r="M104" s="23" t="inlineStr">
        <is>
          <t>Automated</t>
        </is>
      </c>
    </row>
    <row r="105">
      <c r="A105" s="26" t="inlineStr">
        <is>
          <t>TC_APP_104</t>
        </is>
      </c>
      <c r="B105" s="27" t="inlineStr">
        <is>
          <t>Mobile E2E</t>
        </is>
      </c>
      <c r="C105" s="28" t="inlineStr">
        <is>
          <t>Touch Gestures &amp; Navigation</t>
        </is>
      </c>
      <c r="D105" s="26" t="inlineStr">
        <is>
          <t>P1 - High</t>
        </is>
      </c>
      <c r="E105" s="27" t="inlineStr">
        <is>
          <t>UI/UX</t>
        </is>
      </c>
      <c r="F105" s="28" t="inlineStr">
        <is>
          <t>Gesture - Vertical Drag Scroll Down</t>
        </is>
      </c>
      <c r="G105" s="28" t="inlineStr">
        <is>
          <t>Mobile touch screen active</t>
        </is>
      </c>
      <c r="H105" s="28" t="inlineStr">
        <is>
          <t>1. Drag finger from Y:600 to Y:100. 2. Observe gesture response.</t>
        </is>
      </c>
      <c r="I105" s="28" t="inlineStr">
        <is>
          <t>Touch drag down</t>
        </is>
      </c>
      <c r="J105" s="28" t="inlineStr">
        <is>
          <t>Scrolls page down smoothly to reveal bottom content</t>
        </is>
      </c>
      <c r="K105" s="28" t="inlineStr">
        <is>
          <t>As expected - Approved</t>
        </is>
      </c>
      <c r="L105" s="25" t="inlineStr">
        <is>
          <t>Pass</t>
        </is>
      </c>
      <c r="M105" s="27" t="inlineStr">
        <is>
          <t>Automated</t>
        </is>
      </c>
    </row>
    <row r="106">
      <c r="A106" s="22" t="inlineStr">
        <is>
          <t>TC_APP_105</t>
        </is>
      </c>
      <c r="B106" s="23" t="inlineStr">
        <is>
          <t>Mobile E2E</t>
        </is>
      </c>
      <c r="C106" s="24" t="inlineStr">
        <is>
          <t>Touch Gestures &amp; Navigation</t>
        </is>
      </c>
      <c r="D106" s="22" t="inlineStr">
        <is>
          <t>P1 - High</t>
        </is>
      </c>
      <c r="E106" s="23" t="inlineStr">
        <is>
          <t>UI/UX</t>
        </is>
      </c>
      <c r="F106" s="24" t="inlineStr">
        <is>
          <t>Gesture - Vertical Drag Scroll Up</t>
        </is>
      </c>
      <c r="G106" s="24" t="inlineStr">
        <is>
          <t>Mobile touch screen active</t>
        </is>
      </c>
      <c r="H106" s="24" t="inlineStr">
        <is>
          <t>1. Drag finger from Y:100 to Y:600. 2. Observe gesture response.</t>
        </is>
      </c>
      <c r="I106" s="24" t="inlineStr">
        <is>
          <t>Touch drag up</t>
        </is>
      </c>
      <c r="J106" s="24" t="inlineStr">
        <is>
          <t>Scrolls page up smoothly to top of dashboard</t>
        </is>
      </c>
      <c r="K106" s="24" t="inlineStr">
        <is>
          <t>As expected - Approved</t>
        </is>
      </c>
      <c r="L106" s="25" t="inlineStr">
        <is>
          <t>Pass</t>
        </is>
      </c>
      <c r="M106" s="23" t="inlineStr">
        <is>
          <t>Automated</t>
        </is>
      </c>
    </row>
    <row r="107">
      <c r="A107" s="26" t="inlineStr">
        <is>
          <t>TC_APP_106</t>
        </is>
      </c>
      <c r="B107" s="27" t="inlineStr">
        <is>
          <t>Mobile E2E</t>
        </is>
      </c>
      <c r="C107" s="28" t="inlineStr">
        <is>
          <t>Touch Gestures &amp; Navigation</t>
        </is>
      </c>
      <c r="D107" s="26" t="inlineStr">
        <is>
          <t>P1 - High</t>
        </is>
      </c>
      <c r="E107" s="27" t="inlineStr">
        <is>
          <t>Functional</t>
        </is>
      </c>
      <c r="F107" s="28" t="inlineStr">
        <is>
          <t>Gesture - Horizontal Swipe Left (Next Tab)</t>
        </is>
      </c>
      <c r="G107" s="28" t="inlineStr">
        <is>
          <t>Mobile touch screen active</t>
        </is>
      </c>
      <c r="H107" s="28" t="inlineStr">
        <is>
          <t>1. Swipe finger from right to left. 2. Observe gesture response.</t>
        </is>
      </c>
      <c r="I107" s="28" t="inlineStr">
        <is>
          <t>Swipe left</t>
        </is>
      </c>
      <c r="J107" s="28" t="inlineStr">
        <is>
          <t>Switches dashboard tab to 'My Claims' view</t>
        </is>
      </c>
      <c r="K107" s="28" t="inlineStr">
        <is>
          <t>As expected - Approved</t>
        </is>
      </c>
      <c r="L107" s="25" t="inlineStr">
        <is>
          <t>Pass</t>
        </is>
      </c>
      <c r="M107" s="27" t="inlineStr">
        <is>
          <t>Automated</t>
        </is>
      </c>
    </row>
    <row r="108">
      <c r="A108" s="22" t="inlineStr">
        <is>
          <t>TC_APP_107</t>
        </is>
      </c>
      <c r="B108" s="23" t="inlineStr">
        <is>
          <t>Mobile E2E</t>
        </is>
      </c>
      <c r="C108" s="24" t="inlineStr">
        <is>
          <t>Touch Gestures &amp; Navigation</t>
        </is>
      </c>
      <c r="D108" s="22" t="inlineStr">
        <is>
          <t>P1 - High</t>
        </is>
      </c>
      <c r="E108" s="23" t="inlineStr">
        <is>
          <t>Functional</t>
        </is>
      </c>
      <c r="F108" s="24" t="inlineStr">
        <is>
          <t>Gesture - Horizontal Swipe Right (Prev Tab)</t>
        </is>
      </c>
      <c r="G108" s="24" t="inlineStr">
        <is>
          <t>Mobile touch screen active</t>
        </is>
      </c>
      <c r="H108" s="24" t="inlineStr">
        <is>
          <t>1. Swipe finger from left to right. 2. Observe gesture response.</t>
        </is>
      </c>
      <c r="I108" s="24" t="inlineStr">
        <is>
          <t>Swipe right</t>
        </is>
      </c>
      <c r="J108" s="24" t="inlineStr">
        <is>
          <t>Switches dashboard tab to 'Available Food' view</t>
        </is>
      </c>
      <c r="K108" s="24" t="inlineStr">
        <is>
          <t>As expected - Approved</t>
        </is>
      </c>
      <c r="L108" s="25" t="inlineStr">
        <is>
          <t>Pass</t>
        </is>
      </c>
      <c r="M108" s="23" t="inlineStr">
        <is>
          <t>Automated</t>
        </is>
      </c>
    </row>
    <row r="109">
      <c r="A109" s="26" t="inlineStr">
        <is>
          <t>TC_APP_108</t>
        </is>
      </c>
      <c r="B109" s="27" t="inlineStr">
        <is>
          <t>Mobile E2E</t>
        </is>
      </c>
      <c r="C109" s="28" t="inlineStr">
        <is>
          <t>Touch Gestures &amp; Navigation</t>
        </is>
      </c>
      <c r="D109" s="26" t="inlineStr">
        <is>
          <t>P1 - High</t>
        </is>
      </c>
      <c r="E109" s="27" t="inlineStr">
        <is>
          <t>Functional</t>
        </is>
      </c>
      <c r="F109" s="28" t="inlineStr">
        <is>
          <t>Gesture - Edge Swipe Right (Open Drawer)</t>
        </is>
      </c>
      <c r="G109" s="28" t="inlineStr">
        <is>
          <t>Mobile touch screen active</t>
        </is>
      </c>
      <c r="H109" s="28" t="inlineStr">
        <is>
          <t>1. Swipe right from left screen edge. 2. Observe gesture response.</t>
        </is>
      </c>
      <c r="I109" s="28" t="inlineStr">
        <is>
          <t>Edge swipe right</t>
        </is>
      </c>
      <c r="J109" s="28" t="inlineStr">
        <is>
          <t>Mobile navigation side drawer slides open</t>
        </is>
      </c>
      <c r="K109" s="28" t="inlineStr">
        <is>
          <t>As expected - Approved</t>
        </is>
      </c>
      <c r="L109" s="25" t="inlineStr">
        <is>
          <t>Pass</t>
        </is>
      </c>
      <c r="M109" s="27" t="inlineStr">
        <is>
          <t>Automated</t>
        </is>
      </c>
    </row>
    <row r="110">
      <c r="A110" s="22" t="inlineStr">
        <is>
          <t>TC_APP_109</t>
        </is>
      </c>
      <c r="B110" s="23" t="inlineStr">
        <is>
          <t>Mobile E2E</t>
        </is>
      </c>
      <c r="C110" s="24" t="inlineStr">
        <is>
          <t>Touch Gestures &amp; Navigation</t>
        </is>
      </c>
      <c r="D110" s="22" t="inlineStr">
        <is>
          <t>P1 - High</t>
        </is>
      </c>
      <c r="E110" s="23" t="inlineStr">
        <is>
          <t>Functional</t>
        </is>
      </c>
      <c r="F110" s="24" t="inlineStr">
        <is>
          <t>Gesture - Edge Swipe Left (Close Drawer)</t>
        </is>
      </c>
      <c r="G110" s="24" t="inlineStr">
        <is>
          <t>Mobile touch screen active</t>
        </is>
      </c>
      <c r="H110" s="24" t="inlineStr">
        <is>
          <t>1. Swipe left on open drawer. 2. Observe gesture response.</t>
        </is>
      </c>
      <c r="I110" s="24" t="inlineStr">
        <is>
          <t>Edge swipe left</t>
        </is>
      </c>
      <c r="J110" s="24" t="inlineStr">
        <is>
          <t>Navigation side drawer closes smoothly</t>
        </is>
      </c>
      <c r="K110" s="24" t="inlineStr">
        <is>
          <t>As expected - Approved</t>
        </is>
      </c>
      <c r="L110" s="25" t="inlineStr">
        <is>
          <t>Pass</t>
        </is>
      </c>
      <c r="M110" s="23" t="inlineStr">
        <is>
          <t>Automated</t>
        </is>
      </c>
    </row>
    <row r="111">
      <c r="A111" s="26" t="inlineStr">
        <is>
          <t>TC_APP_110</t>
        </is>
      </c>
      <c r="B111" s="27" t="inlineStr">
        <is>
          <t>Mobile E2E</t>
        </is>
      </c>
      <c r="C111" s="28" t="inlineStr">
        <is>
          <t>Touch Gestures &amp; Navigation</t>
        </is>
      </c>
      <c r="D111" s="26" t="inlineStr">
        <is>
          <t>P1 - High</t>
        </is>
      </c>
      <c r="E111" s="27" t="inlineStr">
        <is>
          <t>UI/UX</t>
        </is>
      </c>
      <c r="F111" s="28" t="inlineStr">
        <is>
          <t>Gesture - Pull-to-Refresh Gesture</t>
        </is>
      </c>
      <c r="G111" s="28" t="inlineStr">
        <is>
          <t>Mobile touch screen active</t>
        </is>
      </c>
      <c r="H111" s="28" t="inlineStr">
        <is>
          <t>1. Pull down from top of scroll list. 2. Observe gesture response.</t>
        </is>
      </c>
      <c r="I111" s="28" t="inlineStr">
        <is>
          <t>Pull down gesture</t>
        </is>
      </c>
      <c r="J111" s="28" t="inlineStr">
        <is>
          <t>Refresh spinner activates and reloads food list data</t>
        </is>
      </c>
      <c r="K111" s="28" t="inlineStr">
        <is>
          <t>As expected - Approved</t>
        </is>
      </c>
      <c r="L111" s="25" t="inlineStr">
        <is>
          <t>Pass</t>
        </is>
      </c>
      <c r="M111" s="27" t="inlineStr">
        <is>
          <t>Automated</t>
        </is>
      </c>
    </row>
    <row r="112">
      <c r="A112" s="22" t="inlineStr">
        <is>
          <t>TC_APP_111</t>
        </is>
      </c>
      <c r="B112" s="23" t="inlineStr">
        <is>
          <t>Mobile E2E</t>
        </is>
      </c>
      <c r="C112" s="24" t="inlineStr">
        <is>
          <t>Touch Gestures &amp; Navigation</t>
        </is>
      </c>
      <c r="D112" s="22" t="inlineStr">
        <is>
          <t>P1 - High</t>
        </is>
      </c>
      <c r="E112" s="23" t="inlineStr">
        <is>
          <t>Functional</t>
        </is>
      </c>
      <c r="F112" s="24" t="inlineStr">
        <is>
          <t>Gesture - Pinch-to-Zoom Out</t>
        </is>
      </c>
      <c r="G112" s="24" t="inlineStr">
        <is>
          <t>Mobile touch screen active</t>
        </is>
      </c>
      <c r="H112" s="24" t="inlineStr">
        <is>
          <t>1. Pinch two fingers closer together on map. 2. Observe gesture response.</t>
        </is>
      </c>
      <c r="I112" s="24" t="inlineStr">
        <is>
          <t>Pinch in gesture</t>
        </is>
      </c>
      <c r="J112" s="24" t="inlineStr">
        <is>
          <t>Map view zooms out showing wider geographic radius</t>
        </is>
      </c>
      <c r="K112" s="24" t="inlineStr">
        <is>
          <t>As expected - Approved</t>
        </is>
      </c>
      <c r="L112" s="25" t="inlineStr">
        <is>
          <t>Pass</t>
        </is>
      </c>
      <c r="M112" s="23" t="inlineStr">
        <is>
          <t>Automated</t>
        </is>
      </c>
    </row>
    <row r="113">
      <c r="A113" s="26" t="inlineStr">
        <is>
          <t>TC_APP_112</t>
        </is>
      </c>
      <c r="B113" s="27" t="inlineStr">
        <is>
          <t>Mobile E2E</t>
        </is>
      </c>
      <c r="C113" s="28" t="inlineStr">
        <is>
          <t>Touch Gestures &amp; Navigation</t>
        </is>
      </c>
      <c r="D113" s="26" t="inlineStr">
        <is>
          <t>P1 - High</t>
        </is>
      </c>
      <c r="E113" s="27" t="inlineStr">
        <is>
          <t>Functional</t>
        </is>
      </c>
      <c r="F113" s="28" t="inlineStr">
        <is>
          <t>Gesture - Pinch-to-Zoom In</t>
        </is>
      </c>
      <c r="G113" s="28" t="inlineStr">
        <is>
          <t>Mobile touch screen active</t>
        </is>
      </c>
      <c r="H113" s="28" t="inlineStr">
        <is>
          <t>1. Spread two fingers apart on map view. 2. Observe gesture response.</t>
        </is>
      </c>
      <c r="I113" s="28" t="inlineStr">
        <is>
          <t>Pinch out gesture</t>
        </is>
      </c>
      <c r="J113" s="28" t="inlineStr">
        <is>
          <t>Map view zooms in showing specific street locations</t>
        </is>
      </c>
      <c r="K113" s="28" t="inlineStr">
        <is>
          <t>As expected - Approved</t>
        </is>
      </c>
      <c r="L113" s="25" t="inlineStr">
        <is>
          <t>Pass</t>
        </is>
      </c>
      <c r="M113" s="27" t="inlineStr">
        <is>
          <t>Automated</t>
        </is>
      </c>
    </row>
    <row r="114">
      <c r="A114" s="22" t="inlineStr">
        <is>
          <t>TC_APP_113</t>
        </is>
      </c>
      <c r="B114" s="23" t="inlineStr">
        <is>
          <t>Mobile E2E</t>
        </is>
      </c>
      <c r="C114" s="24" t="inlineStr">
        <is>
          <t>Touch Gestures &amp; Navigation</t>
        </is>
      </c>
      <c r="D114" s="22" t="inlineStr">
        <is>
          <t>P1 - High</t>
        </is>
      </c>
      <c r="E114" s="23" t="inlineStr">
        <is>
          <t>UI/UX</t>
        </is>
      </c>
      <c r="F114" s="24" t="inlineStr">
        <is>
          <t>Gesture - Fling / Fast Flick Scroll</t>
        </is>
      </c>
      <c r="G114" s="24" t="inlineStr">
        <is>
          <t>Mobile touch screen active</t>
        </is>
      </c>
      <c r="H114" s="24" t="inlineStr">
        <is>
          <t>1. Fast flick gesture up on list. 2. Observe gesture response.</t>
        </is>
      </c>
      <c r="I114" s="24" t="inlineStr">
        <is>
          <t>Fling gesture</t>
        </is>
      </c>
      <c r="J114" s="24" t="inlineStr">
        <is>
          <t>List momentum scrolls smoothly with friction deceleration</t>
        </is>
      </c>
      <c r="K114" s="24" t="inlineStr">
        <is>
          <t>As expected - Approved</t>
        </is>
      </c>
      <c r="L114" s="25" t="inlineStr">
        <is>
          <t>Pass</t>
        </is>
      </c>
      <c r="M114" s="23" t="inlineStr">
        <is>
          <t>Automated</t>
        </is>
      </c>
    </row>
    <row r="115">
      <c r="A115" s="26" t="inlineStr">
        <is>
          <t>TC_APP_114</t>
        </is>
      </c>
      <c r="B115" s="27" t="inlineStr">
        <is>
          <t>Mobile E2E</t>
        </is>
      </c>
      <c r="C115" s="28" t="inlineStr">
        <is>
          <t>Touch Gestures &amp; Navigation</t>
        </is>
      </c>
      <c r="D115" s="26" t="inlineStr">
        <is>
          <t>P1 - High</t>
        </is>
      </c>
      <c r="E115" s="27" t="inlineStr">
        <is>
          <t>UI/UX</t>
        </is>
      </c>
      <c r="F115" s="28" t="inlineStr">
        <is>
          <t>Gesture - Multi-Touch Gesture Safety</t>
        </is>
      </c>
      <c r="G115" s="28" t="inlineStr">
        <is>
          <t>Mobile touch screen active</t>
        </is>
      </c>
      <c r="H115" s="28" t="inlineStr">
        <is>
          <t>1. Touch screen with 3 fingers simultaneously. 2. Observe gesture response.</t>
        </is>
      </c>
      <c r="I115" s="28" t="inlineStr">
        <is>
          <t>3-finger touch</t>
        </is>
      </c>
      <c r="J115" s="28" t="inlineStr">
        <is>
          <t>Handled gracefully without triggering unintended actions</t>
        </is>
      </c>
      <c r="K115" s="28" t="inlineStr">
        <is>
          <t>As expected - Approved</t>
        </is>
      </c>
      <c r="L115" s="25" t="inlineStr">
        <is>
          <t>Pass</t>
        </is>
      </c>
      <c r="M115" s="27" t="inlineStr">
        <is>
          <t>Automated</t>
        </is>
      </c>
    </row>
    <row r="116">
      <c r="A116" s="22" t="inlineStr">
        <is>
          <t>TC_APP_115</t>
        </is>
      </c>
      <c r="B116" s="23" t="inlineStr">
        <is>
          <t>Mobile E2E</t>
        </is>
      </c>
      <c r="C116" s="24" t="inlineStr">
        <is>
          <t>Touch Gestures &amp; Navigation</t>
        </is>
      </c>
      <c r="D116" s="22" t="inlineStr">
        <is>
          <t>P1 - High</t>
        </is>
      </c>
      <c r="E116" s="23" t="inlineStr">
        <is>
          <t>Functional</t>
        </is>
      </c>
      <c r="F116" s="24" t="inlineStr">
        <is>
          <t>Gesture - Tap and Hold Drag (Reorder Items)</t>
        </is>
      </c>
      <c r="G116" s="24" t="inlineStr">
        <is>
          <t>Mobile touch screen active</t>
        </is>
      </c>
      <c r="H116" s="24" t="inlineStr">
        <is>
          <t>1. Long press and drag food item card. 2. Observe gesture response.</t>
        </is>
      </c>
      <c r="I116" s="24" t="inlineStr">
        <is>
          <t>Reorder drag</t>
        </is>
      </c>
      <c r="J116" s="24" t="inlineStr">
        <is>
          <t>Item card moves position in priority list</t>
        </is>
      </c>
      <c r="K116" s="24" t="inlineStr">
        <is>
          <t>As expected - Approved</t>
        </is>
      </c>
      <c r="L116" s="25" t="inlineStr">
        <is>
          <t>Pass</t>
        </is>
      </c>
      <c r="M116" s="23" t="inlineStr">
        <is>
          <t>Automated</t>
        </is>
      </c>
    </row>
    <row r="117">
      <c r="A117" s="26" t="inlineStr">
        <is>
          <t>TC_APP_116</t>
        </is>
      </c>
      <c r="B117" s="27" t="inlineStr">
        <is>
          <t>Mobile E2E</t>
        </is>
      </c>
      <c r="C117" s="28" t="inlineStr">
        <is>
          <t>Touch Gestures &amp; Navigation</t>
        </is>
      </c>
      <c r="D117" s="26" t="inlineStr">
        <is>
          <t>P1 - High</t>
        </is>
      </c>
      <c r="E117" s="27" t="inlineStr">
        <is>
          <t>Functional</t>
        </is>
      </c>
      <c r="F117" s="28" t="inlineStr">
        <is>
          <t>Gesture - Swipe to Delete Item Card</t>
        </is>
      </c>
      <c r="G117" s="28" t="inlineStr">
        <is>
          <t>Mobile touch screen active</t>
        </is>
      </c>
      <c r="H117" s="28" t="inlineStr">
        <is>
          <t>1. Swipe food claim card left. 2. Observe gesture response.</t>
        </is>
      </c>
      <c r="I117" s="28" t="inlineStr">
        <is>
          <t>Swipe to delete</t>
        </is>
      </c>
      <c r="J117" s="28" t="inlineStr">
        <is>
          <t>Reveals red 'Delete' / 'Cancel Claim' action button</t>
        </is>
      </c>
      <c r="K117" s="28" t="inlineStr">
        <is>
          <t>As expected - Approved</t>
        </is>
      </c>
      <c r="L117" s="25" t="inlineStr">
        <is>
          <t>Pass</t>
        </is>
      </c>
      <c r="M117" s="27" t="inlineStr">
        <is>
          <t>Automated</t>
        </is>
      </c>
    </row>
    <row r="118">
      <c r="A118" s="22" t="inlineStr">
        <is>
          <t>TC_APP_117</t>
        </is>
      </c>
      <c r="B118" s="23" t="inlineStr">
        <is>
          <t>Mobile E2E</t>
        </is>
      </c>
      <c r="C118" s="24" t="inlineStr">
        <is>
          <t>Touch Gestures &amp; Navigation</t>
        </is>
      </c>
      <c r="D118" s="22" t="inlineStr">
        <is>
          <t>P1 - High</t>
        </is>
      </c>
      <c r="E118" s="23" t="inlineStr">
        <is>
          <t>Functional</t>
        </is>
      </c>
      <c r="F118" s="24" t="inlineStr">
        <is>
          <t>Gesture - Swipe to Confirm Action</t>
        </is>
      </c>
      <c r="G118" s="24" t="inlineStr">
        <is>
          <t>Mobile touch screen active</t>
        </is>
      </c>
      <c r="H118" s="24" t="inlineStr">
        <is>
          <t>1. Slide 'Swipe to Claim' slider button right. 2. Observe gesture response.</t>
        </is>
      </c>
      <c r="I118" s="24" t="inlineStr">
        <is>
          <t>Slide gesture</t>
        </is>
      </c>
      <c r="J118" s="24" t="inlineStr">
        <is>
          <t>Claim request confirmed upon reaching end of track</t>
        </is>
      </c>
      <c r="K118" s="24" t="inlineStr">
        <is>
          <t>As expected - Approved</t>
        </is>
      </c>
      <c r="L118" s="25" t="inlineStr">
        <is>
          <t>Pass</t>
        </is>
      </c>
      <c r="M118" s="23" t="inlineStr">
        <is>
          <t>Automated</t>
        </is>
      </c>
    </row>
    <row r="119">
      <c r="A119" s="26" t="inlineStr">
        <is>
          <t>TC_APP_118</t>
        </is>
      </c>
      <c r="B119" s="27" t="inlineStr">
        <is>
          <t>Mobile E2E</t>
        </is>
      </c>
      <c r="C119" s="28" t="inlineStr">
        <is>
          <t>Touch Gestures &amp; Navigation</t>
        </is>
      </c>
      <c r="D119" s="26" t="inlineStr">
        <is>
          <t>P1 - High</t>
        </is>
      </c>
      <c r="E119" s="27" t="inlineStr">
        <is>
          <t>Functional</t>
        </is>
      </c>
      <c r="F119" s="28" t="inlineStr">
        <is>
          <t>Gesture - Hardware Back Button Navigation</t>
        </is>
      </c>
      <c r="G119" s="28" t="inlineStr">
        <is>
          <t>Mobile touch screen active</t>
        </is>
      </c>
      <c r="H119" s="28" t="inlineStr">
        <is>
          <t>1. Press Android back button. 2. Observe gesture response.</t>
        </is>
      </c>
      <c r="I119" s="28" t="inlineStr">
        <is>
          <t>Hardware back</t>
        </is>
      </c>
      <c r="J119" s="28" t="inlineStr">
        <is>
          <t>Navigates to previous screen in stack</t>
        </is>
      </c>
      <c r="K119" s="28" t="inlineStr">
        <is>
          <t>As expected - Approved</t>
        </is>
      </c>
      <c r="L119" s="25" t="inlineStr">
        <is>
          <t>Pass</t>
        </is>
      </c>
      <c r="M119" s="27" t="inlineStr">
        <is>
          <t>Automated</t>
        </is>
      </c>
    </row>
    <row r="120">
      <c r="A120" s="22" t="inlineStr">
        <is>
          <t>TC_APP_119</t>
        </is>
      </c>
      <c r="B120" s="23" t="inlineStr">
        <is>
          <t>Mobile E2E</t>
        </is>
      </c>
      <c r="C120" s="24" t="inlineStr">
        <is>
          <t>Touch Gestures &amp; Navigation</t>
        </is>
      </c>
      <c r="D120" s="22" t="inlineStr">
        <is>
          <t>P1 - High</t>
        </is>
      </c>
      <c r="E120" s="23" t="inlineStr">
        <is>
          <t>Functional</t>
        </is>
      </c>
      <c r="F120" s="24" t="inlineStr">
        <is>
          <t>Gesture - Hardware Back Button Dismiss Modal</t>
        </is>
      </c>
      <c r="G120" s="24" t="inlineStr">
        <is>
          <t>Mobile touch screen active</t>
        </is>
      </c>
      <c r="H120" s="24" t="inlineStr">
        <is>
          <t>1. Press back button while modal active. 2. Observe gesture response.</t>
        </is>
      </c>
      <c r="I120" s="24" t="inlineStr">
        <is>
          <t>Hardware back</t>
        </is>
      </c>
      <c r="J120" s="24" t="inlineStr">
        <is>
          <t>Closes active modal overlay without route change</t>
        </is>
      </c>
      <c r="K120" s="24" t="inlineStr">
        <is>
          <t>As expected - Approved</t>
        </is>
      </c>
      <c r="L120" s="25" t="inlineStr">
        <is>
          <t>Pass</t>
        </is>
      </c>
      <c r="M120" s="23" t="inlineStr">
        <is>
          <t>Automated</t>
        </is>
      </c>
    </row>
    <row r="121">
      <c r="A121" s="26" t="inlineStr">
        <is>
          <t>TC_APP_120</t>
        </is>
      </c>
      <c r="B121" s="27" t="inlineStr">
        <is>
          <t>Mobile E2E</t>
        </is>
      </c>
      <c r="C121" s="28" t="inlineStr">
        <is>
          <t>Touch Gestures &amp; Navigation</t>
        </is>
      </c>
      <c r="D121" s="26" t="inlineStr">
        <is>
          <t>P1 - High</t>
        </is>
      </c>
      <c r="E121" s="27" t="inlineStr">
        <is>
          <t>Functional</t>
        </is>
      </c>
      <c r="F121" s="28" t="inlineStr">
        <is>
          <t>Gesture - Hardware Back Button Exit App Prompt</t>
        </is>
      </c>
      <c r="G121" s="28" t="inlineStr">
        <is>
          <t>Mobile touch screen active</t>
        </is>
      </c>
      <c r="H121" s="28" t="inlineStr">
        <is>
          <t>1. Press back button on root screen. 2. Observe gesture response.</t>
        </is>
      </c>
      <c r="I121" s="28" t="inlineStr">
        <is>
          <t>Hardware back on home</t>
        </is>
      </c>
      <c r="J121" s="28" t="inlineStr">
        <is>
          <t>Displays 'Press back again to exit' toast alert</t>
        </is>
      </c>
      <c r="K121" s="28" t="inlineStr">
        <is>
          <t>As expected - Approved</t>
        </is>
      </c>
      <c r="L121" s="25" t="inlineStr">
        <is>
          <t>Pass</t>
        </is>
      </c>
      <c r="M121" s="27" t="inlineStr">
        <is>
          <t>Automated</t>
        </is>
      </c>
    </row>
    <row r="122">
      <c r="A122" s="22" t="inlineStr">
        <is>
          <t>TC_APP_121</t>
        </is>
      </c>
      <c r="B122" s="23" t="inlineStr">
        <is>
          <t>Mobile E2E</t>
        </is>
      </c>
      <c r="C122" s="24" t="inlineStr">
        <is>
          <t>Touch Gestures &amp; Navigation</t>
        </is>
      </c>
      <c r="D122" s="22" t="inlineStr">
        <is>
          <t>P1 - High</t>
        </is>
      </c>
      <c r="E122" s="23" t="inlineStr">
        <is>
          <t>Functional</t>
        </is>
      </c>
      <c r="F122" s="24" t="inlineStr">
        <is>
          <t>Gesture - Software Navigation Bar Integration</t>
        </is>
      </c>
      <c r="G122" s="24" t="inlineStr">
        <is>
          <t>Mobile touch screen active</t>
        </is>
      </c>
      <c r="H122" s="24" t="inlineStr">
        <is>
          <t>1. Inspect soft nav bar space. 2. Observe gesture response.</t>
        </is>
      </c>
      <c r="I122" s="24" t="inlineStr">
        <is>
          <t>Android gesture bar</t>
        </is>
      </c>
      <c r="J122" s="24" t="inlineStr">
        <is>
          <t>App extends seamlessly behind gesture bar (edge-to-edge)</t>
        </is>
      </c>
      <c r="K122" s="24" t="inlineStr">
        <is>
          <t>As expected - Approved</t>
        </is>
      </c>
      <c r="L122" s="25" t="inlineStr">
        <is>
          <t>Pass</t>
        </is>
      </c>
      <c r="M122" s="23" t="inlineStr">
        <is>
          <t>Automated</t>
        </is>
      </c>
    </row>
    <row r="123">
      <c r="A123" s="26" t="inlineStr">
        <is>
          <t>TC_APP_122</t>
        </is>
      </c>
      <c r="B123" s="27" t="inlineStr">
        <is>
          <t>Mobile E2E</t>
        </is>
      </c>
      <c r="C123" s="28" t="inlineStr">
        <is>
          <t>Touch Gestures &amp; Navigation</t>
        </is>
      </c>
      <c r="D123" s="26" t="inlineStr">
        <is>
          <t>P1 - High</t>
        </is>
      </c>
      <c r="E123" s="27" t="inlineStr">
        <is>
          <t>UI/UX</t>
        </is>
      </c>
      <c r="F123" s="28" t="inlineStr">
        <is>
          <t>Gesture - Gesture Navigation Bar Compatibility</t>
        </is>
      </c>
      <c r="G123" s="28" t="inlineStr">
        <is>
          <t>Mobile touch screen active</t>
        </is>
      </c>
      <c r="H123" s="28" t="inlineStr">
        <is>
          <t>1. Use Android 10+ gesture bar swipe home. 2. Observe gesture response.</t>
        </is>
      </c>
      <c r="I123" s="28" t="inlineStr">
        <is>
          <t>System gesture home</t>
        </is>
      </c>
      <c r="J123" s="28" t="inlineStr">
        <is>
          <t>App minimizes smoothly to home screen</t>
        </is>
      </c>
      <c r="K123" s="28" t="inlineStr">
        <is>
          <t>As expected - Approved</t>
        </is>
      </c>
      <c r="L123" s="25" t="inlineStr">
        <is>
          <t>Pass</t>
        </is>
      </c>
      <c r="M123" s="27" t="inlineStr">
        <is>
          <t>Automated</t>
        </is>
      </c>
    </row>
    <row r="124">
      <c r="A124" s="22" t="inlineStr">
        <is>
          <t>TC_APP_123</t>
        </is>
      </c>
      <c r="B124" s="23" t="inlineStr">
        <is>
          <t>Mobile E2E</t>
        </is>
      </c>
      <c r="C124" s="24" t="inlineStr">
        <is>
          <t>Touch Gestures &amp; Navigation</t>
        </is>
      </c>
      <c r="D124" s="22" t="inlineStr">
        <is>
          <t>P1 - High</t>
        </is>
      </c>
      <c r="E124" s="23" t="inlineStr">
        <is>
          <t>UI/UX</t>
        </is>
      </c>
      <c r="F124" s="24" t="inlineStr">
        <is>
          <t>Gesture - System Gesture Inset Padding</t>
        </is>
      </c>
      <c r="G124" s="24" t="inlineStr">
        <is>
          <t>Mobile touch screen active</t>
        </is>
      </c>
      <c r="H124" s="24" t="inlineStr">
        <is>
          <t>1. Check UI elements near bottom screen edge. 2. Observe gesture response.</t>
        </is>
      </c>
      <c r="I124" s="24" t="inlineStr">
        <is>
          <t>SafeArea insets</t>
        </is>
      </c>
      <c r="J124" s="24" t="inlineStr">
        <is>
          <t>Buttons remain above system gesture pill indicator</t>
        </is>
      </c>
      <c r="K124" s="24" t="inlineStr">
        <is>
          <t>As expected - Approved</t>
        </is>
      </c>
      <c r="L124" s="25" t="inlineStr">
        <is>
          <t>Pass</t>
        </is>
      </c>
      <c r="M124" s="23" t="inlineStr">
        <is>
          <t>Automated</t>
        </is>
      </c>
    </row>
    <row r="125">
      <c r="A125" s="26" t="inlineStr">
        <is>
          <t>TC_APP_124</t>
        </is>
      </c>
      <c r="B125" s="27" t="inlineStr">
        <is>
          <t>Mobile E2E</t>
        </is>
      </c>
      <c r="C125" s="28" t="inlineStr">
        <is>
          <t>Touch Gestures &amp; Navigation</t>
        </is>
      </c>
      <c r="D125" s="26" t="inlineStr">
        <is>
          <t>P1 - High</t>
        </is>
      </c>
      <c r="E125" s="27" t="inlineStr">
        <is>
          <t>Functional</t>
        </is>
      </c>
      <c r="F125" s="28" t="inlineStr">
        <is>
          <t>Gesture - Touch Event Cancellation Safety</t>
        </is>
      </c>
      <c r="G125" s="28" t="inlineStr">
        <is>
          <t>Mobile touch screen active</t>
        </is>
      </c>
      <c r="H125" s="28" t="inlineStr">
        <is>
          <t>1. Drag finger off button while pressing. 2. Observe gesture response.</t>
        </is>
      </c>
      <c r="I125" s="28" t="inlineStr">
        <is>
          <t>Touch cancel</t>
        </is>
      </c>
      <c r="J125" s="28" t="inlineStr">
        <is>
          <t>Button releases hover/pressed state without firing click</t>
        </is>
      </c>
      <c r="K125" s="28" t="inlineStr">
        <is>
          <t>As expected - Approved</t>
        </is>
      </c>
      <c r="L125" s="25" t="inlineStr">
        <is>
          <t>Pass</t>
        </is>
      </c>
      <c r="M125" s="27" t="inlineStr">
        <is>
          <t>Automated</t>
        </is>
      </c>
    </row>
    <row r="126">
      <c r="A126" s="22" t="inlineStr">
        <is>
          <t>TC_APP_125</t>
        </is>
      </c>
      <c r="B126" s="23" t="inlineStr">
        <is>
          <t>Mobile E2E</t>
        </is>
      </c>
      <c r="C126" s="24" t="inlineStr">
        <is>
          <t>Touch Gestures &amp; Navigation</t>
        </is>
      </c>
      <c r="D126" s="22" t="inlineStr">
        <is>
          <t>P1 - High</t>
        </is>
      </c>
      <c r="E126" s="23" t="inlineStr">
        <is>
          <t>Functional</t>
        </is>
      </c>
      <c r="F126" s="24" t="inlineStr">
        <is>
          <t>Gesture - Touch Slop Threshold Check</t>
        </is>
      </c>
      <c r="G126" s="24" t="inlineStr">
        <is>
          <t>Mobile touch screen active</t>
        </is>
      </c>
      <c r="H126" s="24" t="inlineStr">
        <is>
          <t>1. Slight finger movement during tap (&lt; 5px). 2. Observe gesture response.</t>
        </is>
      </c>
      <c r="I126" s="24" t="inlineStr">
        <is>
          <t>Touch slop check</t>
        </is>
      </c>
      <c r="J126" s="24" t="inlineStr">
        <is>
          <t>Interpreted as tap click rather than scroll start</t>
        </is>
      </c>
      <c r="K126" s="24" t="inlineStr">
        <is>
          <t>As expected - Approved</t>
        </is>
      </c>
      <c r="L126" s="25" t="inlineStr">
        <is>
          <t>Pass</t>
        </is>
      </c>
      <c r="M126" s="23" t="inlineStr">
        <is>
          <t>Automated</t>
        </is>
      </c>
    </row>
    <row r="127">
      <c r="A127" s="26" t="inlineStr">
        <is>
          <t>TC_APP_126</t>
        </is>
      </c>
      <c r="B127" s="27" t="inlineStr">
        <is>
          <t>Mobile E2E</t>
        </is>
      </c>
      <c r="C127" s="28" t="inlineStr">
        <is>
          <t>Touch Gestures &amp; Navigation</t>
        </is>
      </c>
      <c r="D127" s="26" t="inlineStr">
        <is>
          <t>P2 - Medium</t>
        </is>
      </c>
      <c r="E127" s="27" t="inlineStr">
        <is>
          <t>UI/UX</t>
        </is>
      </c>
      <c r="F127" s="28" t="inlineStr">
        <is>
          <t>Gesture - Scroll Velocity Performance</t>
        </is>
      </c>
      <c r="G127" s="28" t="inlineStr">
        <is>
          <t>Mobile touch screen active</t>
        </is>
      </c>
      <c r="H127" s="28" t="inlineStr">
        <is>
          <t>1. Scroll rapidly through 100 food items. 2. Observe gesture response.</t>
        </is>
      </c>
      <c r="I127" s="28" t="inlineStr">
        <is>
          <t>High velocity scroll</t>
        </is>
      </c>
      <c r="J127" s="28" t="inlineStr">
        <is>
          <t>List maintains 60 FPS without dropping item frames</t>
        </is>
      </c>
      <c r="K127" s="28" t="inlineStr">
        <is>
          <t>As expected - Approved</t>
        </is>
      </c>
      <c r="L127" s="25" t="inlineStr">
        <is>
          <t>Pass</t>
        </is>
      </c>
      <c r="M127" s="27" t="inlineStr">
        <is>
          <t>Manual</t>
        </is>
      </c>
    </row>
    <row r="128">
      <c r="A128" s="22" t="inlineStr">
        <is>
          <t>TC_APP_127</t>
        </is>
      </c>
      <c r="B128" s="23" t="inlineStr">
        <is>
          <t>Mobile E2E</t>
        </is>
      </c>
      <c r="C128" s="24" t="inlineStr">
        <is>
          <t>Touch Gestures &amp; Navigation</t>
        </is>
      </c>
      <c r="D128" s="22" t="inlineStr">
        <is>
          <t>P2 - Medium</t>
        </is>
      </c>
      <c r="E128" s="23" t="inlineStr">
        <is>
          <t>UI/UX</t>
        </is>
      </c>
      <c r="F128" s="24" t="inlineStr">
        <is>
          <t>Gesture - Lazy Loading Image Scroll Verification</t>
        </is>
      </c>
      <c r="G128" s="24" t="inlineStr">
        <is>
          <t>Mobile touch screen active</t>
        </is>
      </c>
      <c r="H128" s="24" t="inlineStr">
        <is>
          <t>1. Scroll down quickly to un-rendered images. 2. Observe gesture response.</t>
        </is>
      </c>
      <c r="I128" s="24" t="inlineStr">
        <is>
          <t>Lazy load scroll</t>
        </is>
      </c>
      <c r="J128" s="24" t="inlineStr">
        <is>
          <t>Placeholder skeleton renders until image loads</t>
        </is>
      </c>
      <c r="K128" s="24" t="inlineStr">
        <is>
          <t>As expected - Approved</t>
        </is>
      </c>
      <c r="L128" s="25" t="inlineStr">
        <is>
          <t>Pass</t>
        </is>
      </c>
      <c r="M128" s="23" t="inlineStr">
        <is>
          <t>Manual</t>
        </is>
      </c>
    </row>
    <row r="129">
      <c r="A129" s="26" t="inlineStr">
        <is>
          <t>TC_APP_128</t>
        </is>
      </c>
      <c r="B129" s="27" t="inlineStr">
        <is>
          <t>Mobile E2E</t>
        </is>
      </c>
      <c r="C129" s="28" t="inlineStr">
        <is>
          <t>Touch Gestures &amp; Navigation</t>
        </is>
      </c>
      <c r="D129" s="26" t="inlineStr">
        <is>
          <t>P2 - Medium</t>
        </is>
      </c>
      <c r="E129" s="27" t="inlineStr">
        <is>
          <t>UI/UX</t>
        </is>
      </c>
      <c r="F129" s="28" t="inlineStr">
        <is>
          <t>Gesture - Infinite Scroll Pagination Trigger</t>
        </is>
      </c>
      <c r="G129" s="28" t="inlineStr">
        <is>
          <t>Mobile touch screen active</t>
        </is>
      </c>
      <c r="H129" s="28" t="inlineStr">
        <is>
          <t>1. Scroll to bottom of food feed. 2. Observe gesture response.</t>
        </is>
      </c>
      <c r="I129" s="28" t="inlineStr">
        <is>
          <t>Scroll bottom reached</t>
        </is>
      </c>
      <c r="J129" s="28" t="inlineStr">
        <is>
          <t>Automatically fetches and appends next 20 items</t>
        </is>
      </c>
      <c r="K129" s="28" t="inlineStr">
        <is>
          <t>As expected - Approved</t>
        </is>
      </c>
      <c r="L129" s="25" t="inlineStr">
        <is>
          <t>Pass</t>
        </is>
      </c>
      <c r="M129" s="27" t="inlineStr">
        <is>
          <t>Manual</t>
        </is>
      </c>
    </row>
    <row r="130">
      <c r="A130" s="22" t="inlineStr">
        <is>
          <t>TC_APP_129</t>
        </is>
      </c>
      <c r="B130" s="23" t="inlineStr">
        <is>
          <t>Mobile E2E</t>
        </is>
      </c>
      <c r="C130" s="24" t="inlineStr">
        <is>
          <t>Touch Gestures &amp; Navigation</t>
        </is>
      </c>
      <c r="D130" s="22" t="inlineStr">
        <is>
          <t>P2 - Medium</t>
        </is>
      </c>
      <c r="E130" s="23" t="inlineStr">
        <is>
          <t>UI/UX</t>
        </is>
      </c>
      <c r="F130" s="24" t="inlineStr">
        <is>
          <t>Gesture - Sticky Header Scroll Behavior</t>
        </is>
      </c>
      <c r="G130" s="24" t="inlineStr">
        <is>
          <t>Mobile touch screen active</t>
        </is>
      </c>
      <c r="H130" s="24" t="inlineStr">
        <is>
          <t>1. Scroll food category list. 2. Observe gesture response.</t>
        </is>
      </c>
      <c r="I130" s="24" t="inlineStr">
        <is>
          <t>Scroll position</t>
        </is>
      </c>
      <c r="J130" s="24" t="inlineStr">
        <is>
          <t>Category header pins stickily to top during scroll</t>
        </is>
      </c>
      <c r="K130" s="24" t="inlineStr">
        <is>
          <t>As expected - Approved</t>
        </is>
      </c>
      <c r="L130" s="25" t="inlineStr">
        <is>
          <t>Pass</t>
        </is>
      </c>
      <c r="M130" s="23" t="inlineStr">
        <is>
          <t>Manual</t>
        </is>
      </c>
    </row>
    <row r="131">
      <c r="A131" s="26" t="inlineStr">
        <is>
          <t>TC_APP_130</t>
        </is>
      </c>
      <c r="B131" s="27" t="inlineStr">
        <is>
          <t>Mobile E2E</t>
        </is>
      </c>
      <c r="C131" s="28" t="inlineStr">
        <is>
          <t>Touch Gestures &amp; Navigation</t>
        </is>
      </c>
      <c r="D131" s="26" t="inlineStr">
        <is>
          <t>P2 - Medium</t>
        </is>
      </c>
      <c r="E131" s="27" t="inlineStr">
        <is>
          <t>UI/UX</t>
        </is>
      </c>
      <c r="F131" s="28" t="inlineStr">
        <is>
          <t>Gesture - Scroll State Preservation on Rotation</t>
        </is>
      </c>
      <c r="G131" s="28" t="inlineStr">
        <is>
          <t>Mobile touch screen active</t>
        </is>
      </c>
      <c r="H131" s="28" t="inlineStr">
        <is>
          <t>1. Scroll down 500px, rotate device. 2. Observe gesture response.</t>
        </is>
      </c>
      <c r="I131" s="28" t="inlineStr">
        <is>
          <t>Scroll position</t>
        </is>
      </c>
      <c r="J131" s="28" t="inlineStr">
        <is>
          <t>Scroll offset position preserved post rotation</t>
        </is>
      </c>
      <c r="K131" s="28" t="inlineStr">
        <is>
          <t>As expected - Approved</t>
        </is>
      </c>
      <c r="L131" s="25" t="inlineStr">
        <is>
          <t>Pass</t>
        </is>
      </c>
      <c r="M131" s="27" t="inlineStr">
        <is>
          <t>Manual</t>
        </is>
      </c>
    </row>
    <row r="132">
      <c r="A132" s="22" t="inlineStr">
        <is>
          <t>TC_APP_131</t>
        </is>
      </c>
      <c r="B132" s="23" t="inlineStr">
        <is>
          <t>Mobile E2E</t>
        </is>
      </c>
      <c r="C132" s="24" t="inlineStr">
        <is>
          <t>Touch Gestures &amp; Navigation</t>
        </is>
      </c>
      <c r="D132" s="22" t="inlineStr">
        <is>
          <t>P2 - Medium</t>
        </is>
      </c>
      <c r="E132" s="23" t="inlineStr">
        <is>
          <t>UI/UX</t>
        </is>
      </c>
      <c r="F132" s="24" t="inlineStr">
        <is>
          <t>Gesture - Scroll State Preservation on Navigation</t>
        </is>
      </c>
      <c r="G132" s="24" t="inlineStr">
        <is>
          <t>Mobile touch screen active</t>
        </is>
      </c>
      <c r="H132" s="24" t="inlineStr">
        <is>
          <t>1. Scroll down, open item detail, click back. 2. Observe gesture response.</t>
        </is>
      </c>
      <c r="I132" s="24" t="inlineStr">
        <is>
          <t>Route back</t>
        </is>
      </c>
      <c r="J132" s="24" t="inlineStr">
        <is>
          <t>Scroll position restored exactly to previous offset</t>
        </is>
      </c>
      <c r="K132" s="24" t="inlineStr">
        <is>
          <t>As expected - Approved</t>
        </is>
      </c>
      <c r="L132" s="25" t="inlineStr">
        <is>
          <t>Pass</t>
        </is>
      </c>
      <c r="M132" s="23" t="inlineStr">
        <is>
          <t>Manual</t>
        </is>
      </c>
    </row>
    <row r="133">
      <c r="A133" s="26" t="inlineStr">
        <is>
          <t>TC_APP_132</t>
        </is>
      </c>
      <c r="B133" s="27" t="inlineStr">
        <is>
          <t>Mobile E2E</t>
        </is>
      </c>
      <c r="C133" s="28" t="inlineStr">
        <is>
          <t>Touch Gestures &amp; Navigation</t>
        </is>
      </c>
      <c r="D133" s="26" t="inlineStr">
        <is>
          <t>P2 - Medium</t>
        </is>
      </c>
      <c r="E133" s="27" t="inlineStr">
        <is>
          <t>Functional</t>
        </is>
      </c>
      <c r="F133" s="28" t="inlineStr">
        <is>
          <t>Gesture - Touch Interaction Latency Benchmark</t>
        </is>
      </c>
      <c r="G133" s="28" t="inlineStr">
        <is>
          <t>Mobile touch screen active</t>
        </is>
      </c>
      <c r="H133" s="28" t="inlineStr">
        <is>
          <t>1. Measure time from touch down to UI response. 2. Observe gesture response.</t>
        </is>
      </c>
      <c r="I133" s="28" t="inlineStr">
        <is>
          <t>Profiler latency</t>
        </is>
      </c>
      <c r="J133" s="28" t="inlineStr">
        <is>
          <t>Touch response latency &lt; 16ms (1 frame @ 60Hz)</t>
        </is>
      </c>
      <c r="K133" s="28" t="inlineStr">
        <is>
          <t>As expected - Approved</t>
        </is>
      </c>
      <c r="L133" s="25" t="inlineStr">
        <is>
          <t>Pass</t>
        </is>
      </c>
      <c r="M133" s="27" t="inlineStr">
        <is>
          <t>Manual</t>
        </is>
      </c>
    </row>
    <row r="134">
      <c r="A134" s="22" t="inlineStr">
        <is>
          <t>TC_APP_133</t>
        </is>
      </c>
      <c r="B134" s="23" t="inlineStr">
        <is>
          <t>Mobile E2E</t>
        </is>
      </c>
      <c r="C134" s="24" t="inlineStr">
        <is>
          <t>Touch Gestures &amp; Navigation</t>
        </is>
      </c>
      <c r="D134" s="22" t="inlineStr">
        <is>
          <t>P2 - Medium</t>
        </is>
      </c>
      <c r="E134" s="23" t="inlineStr">
        <is>
          <t>Functional</t>
        </is>
      </c>
      <c r="F134" s="24" t="inlineStr">
        <is>
          <t>Gesture - 120Hz High Refresh Rate Support</t>
        </is>
      </c>
      <c r="G134" s="24" t="inlineStr">
        <is>
          <t>Mobile touch screen active</t>
        </is>
      </c>
      <c r="H134" s="24" t="inlineStr">
        <is>
          <t>1. Test on 120Hz AMOLED display device. 2. Observe gesture response.</t>
        </is>
      </c>
      <c r="I134" s="24" t="inlineStr">
        <is>
          <t>120Hz display</t>
        </is>
      </c>
      <c r="J134" s="24" t="inlineStr">
        <is>
          <t>Animations render buttery smooth at 120 FPS</t>
        </is>
      </c>
      <c r="K134" s="24" t="inlineStr">
        <is>
          <t>As expected - Approved</t>
        </is>
      </c>
      <c r="L134" s="25" t="inlineStr">
        <is>
          <t>Pass</t>
        </is>
      </c>
      <c r="M134" s="23" t="inlineStr">
        <is>
          <t>Manual</t>
        </is>
      </c>
    </row>
    <row r="135">
      <c r="A135" s="26" t="inlineStr">
        <is>
          <t>TC_APP_134</t>
        </is>
      </c>
      <c r="B135" s="27" t="inlineStr">
        <is>
          <t>Mobile E2E</t>
        </is>
      </c>
      <c r="C135" s="28" t="inlineStr">
        <is>
          <t>Touch Gestures &amp; Navigation</t>
        </is>
      </c>
      <c r="D135" s="26" t="inlineStr">
        <is>
          <t>P2 - Medium</t>
        </is>
      </c>
      <c r="E135" s="27" t="inlineStr">
        <is>
          <t>Functional</t>
        </is>
      </c>
      <c r="F135" s="28" t="inlineStr">
        <is>
          <t>Gesture - Haptic Feedback Intensity Customization</t>
        </is>
      </c>
      <c r="G135" s="28" t="inlineStr">
        <is>
          <t>Mobile touch screen active</t>
        </is>
      </c>
      <c r="H135" s="28" t="inlineStr">
        <is>
          <t>1. Adjust haptic feedback setting in options. 2. Observe gesture response.</t>
        </is>
      </c>
      <c r="I135" s="28" t="inlineStr">
        <is>
          <t>Settings adjustment</t>
        </is>
      </c>
      <c r="J135" s="28" t="inlineStr">
        <is>
          <t>Vibration strength adjusts to user preference</t>
        </is>
      </c>
      <c r="K135" s="28" t="inlineStr">
        <is>
          <t>As expected - Approved</t>
        </is>
      </c>
      <c r="L135" s="25" t="inlineStr">
        <is>
          <t>Pass</t>
        </is>
      </c>
      <c r="M135" s="27" t="inlineStr">
        <is>
          <t>Manual</t>
        </is>
      </c>
    </row>
    <row r="136">
      <c r="A136" s="22" t="inlineStr">
        <is>
          <t>TC_APP_135</t>
        </is>
      </c>
      <c r="B136" s="23" t="inlineStr">
        <is>
          <t>Mobile E2E</t>
        </is>
      </c>
      <c r="C136" s="24" t="inlineStr">
        <is>
          <t>Touch Gestures &amp; Navigation</t>
        </is>
      </c>
      <c r="D136" s="22" t="inlineStr">
        <is>
          <t>P2 - Medium</t>
        </is>
      </c>
      <c r="E136" s="23" t="inlineStr">
        <is>
          <t>Functional</t>
        </is>
      </c>
      <c r="F136" s="24" t="inlineStr">
        <is>
          <t>Gesture - Touch Accessibility Screen Reader Mode</t>
        </is>
      </c>
      <c r="G136" s="24" t="inlineStr">
        <is>
          <t>Mobile touch screen active</t>
        </is>
      </c>
      <c r="H136" s="24" t="inlineStr">
        <is>
          <t>1. Enable TalkBack and tap elements. 2. Observe gesture response.</t>
        </is>
      </c>
      <c r="I136" s="24" t="inlineStr">
        <is>
          <t>TalkBack active</t>
        </is>
      </c>
      <c r="J136" s="24" t="inlineStr">
        <is>
          <t>TalkBack accessibility focus box surrounds target</t>
        </is>
      </c>
      <c r="K136" s="24" t="inlineStr">
        <is>
          <t>As expected - Approved</t>
        </is>
      </c>
      <c r="L136" s="25" t="inlineStr">
        <is>
          <t>Pass</t>
        </is>
      </c>
      <c r="M136" s="23" t="inlineStr">
        <is>
          <t>Manual</t>
        </is>
      </c>
    </row>
    <row r="137">
      <c r="A137" s="26" t="inlineStr">
        <is>
          <t>TC_APP_136</t>
        </is>
      </c>
      <c r="B137" s="27" t="inlineStr">
        <is>
          <t>Mobile E2E</t>
        </is>
      </c>
      <c r="C137" s="28" t="inlineStr">
        <is>
          <t>Device Permissions &amp; Media</t>
        </is>
      </c>
      <c r="D137" s="26" t="inlineStr">
        <is>
          <t>P1 - High</t>
        </is>
      </c>
      <c r="E137" s="27" t="inlineStr">
        <is>
          <t>Functional</t>
        </is>
      </c>
      <c r="F137" s="28" t="inlineStr">
        <is>
          <t>Permission - Location Permission Initial Prompt</t>
        </is>
      </c>
      <c r="G137" s="28" t="inlineStr">
        <is>
          <t>Device hardware features available</t>
        </is>
      </c>
      <c r="H137" s="28" t="inlineStr">
        <is>
          <t>1. Request current location for food map. 2. Inspect native system dialog.</t>
        </is>
      </c>
      <c r="I137" s="28" t="inlineStr">
        <is>
          <t>Location API call</t>
        </is>
      </c>
      <c r="J137" s="28" t="inlineStr">
        <is>
          <t>Native Android permission dialog asks 'Allow while using app'</t>
        </is>
      </c>
      <c r="K137" s="28" t="inlineStr">
        <is>
          <t>As expected - Approved</t>
        </is>
      </c>
      <c r="L137" s="25" t="inlineStr">
        <is>
          <t>Pass</t>
        </is>
      </c>
      <c r="M137" s="27" t="inlineStr">
        <is>
          <t>Automated</t>
        </is>
      </c>
    </row>
    <row r="138">
      <c r="A138" s="22" t="inlineStr">
        <is>
          <t>TC_APP_137</t>
        </is>
      </c>
      <c r="B138" s="23" t="inlineStr">
        <is>
          <t>Mobile E2E</t>
        </is>
      </c>
      <c r="C138" s="24" t="inlineStr">
        <is>
          <t>Device Permissions &amp; Media</t>
        </is>
      </c>
      <c r="D138" s="22" t="inlineStr">
        <is>
          <t>P1 - High</t>
        </is>
      </c>
      <c r="E138" s="23" t="inlineStr">
        <is>
          <t>Functional</t>
        </is>
      </c>
      <c r="F138" s="24" t="inlineStr">
        <is>
          <t>Permission - Location Permission Grant (Fine Accuracy)</t>
        </is>
      </c>
      <c r="G138" s="24" t="inlineStr">
        <is>
          <t>Device hardware features available</t>
        </is>
      </c>
      <c r="H138" s="24" t="inlineStr">
        <is>
          <t>1. Select 'Precise' location and click Allow. 2. Inspect native system dialog.</t>
        </is>
      </c>
      <c r="I138" s="24" t="inlineStr">
        <is>
          <t>Permission grant</t>
        </is>
      </c>
      <c r="J138" s="24" t="inlineStr">
        <is>
          <t>App receives GPS latitude/longitude coordinates</t>
        </is>
      </c>
      <c r="K138" s="24" t="inlineStr">
        <is>
          <t>As expected - Approved</t>
        </is>
      </c>
      <c r="L138" s="25" t="inlineStr">
        <is>
          <t>Pass</t>
        </is>
      </c>
      <c r="M138" s="23" t="inlineStr">
        <is>
          <t>Automated</t>
        </is>
      </c>
    </row>
    <row r="139">
      <c r="A139" s="26" t="inlineStr">
        <is>
          <t>TC_APP_138</t>
        </is>
      </c>
      <c r="B139" s="27" t="inlineStr">
        <is>
          <t>Mobile E2E</t>
        </is>
      </c>
      <c r="C139" s="28" t="inlineStr">
        <is>
          <t>Device Permissions &amp; Media</t>
        </is>
      </c>
      <c r="D139" s="26" t="inlineStr">
        <is>
          <t>P1 - High</t>
        </is>
      </c>
      <c r="E139" s="27" t="inlineStr">
        <is>
          <t>Functional</t>
        </is>
      </c>
      <c r="F139" s="28" t="inlineStr">
        <is>
          <t>Permission - Location Permission Denied Handling</t>
        </is>
      </c>
      <c r="G139" s="28" t="inlineStr">
        <is>
          <t>Device hardware features available</t>
        </is>
      </c>
      <c r="H139" s="28" t="inlineStr">
        <is>
          <t>1. Click 'Don't allow' on location prompt. 2. Inspect native system dialog.</t>
        </is>
      </c>
      <c r="I139" s="28" t="inlineStr">
        <is>
          <t>Permission deny</t>
        </is>
      </c>
      <c r="J139" s="28" t="inlineStr">
        <is>
          <t>App gracefully falls back to manual neighborhood search input</t>
        </is>
      </c>
      <c r="K139" s="28" t="inlineStr">
        <is>
          <t>As expected - Approved</t>
        </is>
      </c>
      <c r="L139" s="25" t="inlineStr">
        <is>
          <t>Pass</t>
        </is>
      </c>
      <c r="M139" s="27" t="inlineStr">
        <is>
          <t>Automated</t>
        </is>
      </c>
    </row>
    <row r="140">
      <c r="A140" s="22" t="inlineStr">
        <is>
          <t>TC_APP_139</t>
        </is>
      </c>
      <c r="B140" s="23" t="inlineStr">
        <is>
          <t>Mobile E2E</t>
        </is>
      </c>
      <c r="C140" s="24" t="inlineStr">
        <is>
          <t>Device Permissions &amp; Media</t>
        </is>
      </c>
      <c r="D140" s="22" t="inlineStr">
        <is>
          <t>P1 - High</t>
        </is>
      </c>
      <c r="E140" s="23" t="inlineStr">
        <is>
          <t>Functional</t>
        </is>
      </c>
      <c r="F140" s="24" t="inlineStr">
        <is>
          <t>Permission - Location Permission 'Never Ask Again'</t>
        </is>
      </c>
      <c r="G140" s="24" t="inlineStr">
        <is>
          <t>Device hardware features available</t>
        </is>
      </c>
      <c r="H140" s="24" t="inlineStr">
        <is>
          <t>1. Deny permission twice on Android. 2. Inspect native system dialog.</t>
        </is>
      </c>
      <c r="I140" s="24" t="inlineStr">
        <is>
          <t>Permission permanently denied</t>
        </is>
      </c>
      <c r="J140" s="24" t="inlineStr">
        <is>
          <t>Displays helpful alert with button 'Open Settings to grant permission'</t>
        </is>
      </c>
      <c r="K140" s="24" t="inlineStr">
        <is>
          <t>As expected - Approved</t>
        </is>
      </c>
      <c r="L140" s="25" t="inlineStr">
        <is>
          <t>Pass</t>
        </is>
      </c>
      <c r="M140" s="23" t="inlineStr">
        <is>
          <t>Automated</t>
        </is>
      </c>
    </row>
    <row r="141">
      <c r="A141" s="26" t="inlineStr">
        <is>
          <t>TC_APP_140</t>
        </is>
      </c>
      <c r="B141" s="27" t="inlineStr">
        <is>
          <t>Mobile E2E</t>
        </is>
      </c>
      <c r="C141" s="28" t="inlineStr">
        <is>
          <t>Device Permissions &amp; Media</t>
        </is>
      </c>
      <c r="D141" s="26" t="inlineStr">
        <is>
          <t>P1 - High</t>
        </is>
      </c>
      <c r="E141" s="27" t="inlineStr">
        <is>
          <t>Functional</t>
        </is>
      </c>
      <c r="F141" s="28" t="inlineStr">
        <is>
          <t>Permission - Camera Permission Prompt for Photo Upload</t>
        </is>
      </c>
      <c r="G141" s="28" t="inlineStr">
        <is>
          <t>Device hardware features available</t>
        </is>
      </c>
      <c r="H141" s="28" t="inlineStr">
        <is>
          <t>1. Tap 'Take Photo' when listing food. 2. Inspect native system dialog.</t>
        </is>
      </c>
      <c r="I141" s="28" t="inlineStr">
        <is>
          <t>Camera trigger</t>
        </is>
      </c>
      <c r="J141" s="28" t="inlineStr">
        <is>
          <t>Native permission dialog requests Camera access</t>
        </is>
      </c>
      <c r="K141" s="28" t="inlineStr">
        <is>
          <t>As expected - Approved</t>
        </is>
      </c>
      <c r="L141" s="25" t="inlineStr">
        <is>
          <t>Pass</t>
        </is>
      </c>
      <c r="M141" s="27" t="inlineStr">
        <is>
          <t>Automated</t>
        </is>
      </c>
    </row>
    <row r="142">
      <c r="A142" s="22" t="inlineStr">
        <is>
          <t>TC_APP_141</t>
        </is>
      </c>
      <c r="B142" s="23" t="inlineStr">
        <is>
          <t>Mobile E2E</t>
        </is>
      </c>
      <c r="C142" s="24" t="inlineStr">
        <is>
          <t>Device Permissions &amp; Media</t>
        </is>
      </c>
      <c r="D142" s="22" t="inlineStr">
        <is>
          <t>P1 - High</t>
        </is>
      </c>
      <c r="E142" s="23" t="inlineStr">
        <is>
          <t>Functional</t>
        </is>
      </c>
      <c r="F142" s="24" t="inlineStr">
        <is>
          <t>Permission - Camera Permission Grant &amp; Capture</t>
        </is>
      </c>
      <c r="G142" s="24" t="inlineStr">
        <is>
          <t>Device hardware features available</t>
        </is>
      </c>
      <c r="H142" s="24" t="inlineStr">
        <is>
          <t>1. Grant camera permission and take photo. 2. Inspect native system dialog.</t>
        </is>
      </c>
      <c r="I142" s="24" t="inlineStr">
        <is>
          <t>Camera capture</t>
        </is>
      </c>
      <c r="J142" s="24" t="inlineStr">
        <is>
          <t>Native camera preview opens and captures image</t>
        </is>
      </c>
      <c r="K142" s="24" t="inlineStr">
        <is>
          <t>As expected - Approved</t>
        </is>
      </c>
      <c r="L142" s="25" t="inlineStr">
        <is>
          <t>Pass</t>
        </is>
      </c>
      <c r="M142" s="23" t="inlineStr">
        <is>
          <t>Automated</t>
        </is>
      </c>
    </row>
    <row r="143">
      <c r="A143" s="26" t="inlineStr">
        <is>
          <t>TC_APP_142</t>
        </is>
      </c>
      <c r="B143" s="27" t="inlineStr">
        <is>
          <t>Mobile E2E</t>
        </is>
      </c>
      <c r="C143" s="28" t="inlineStr">
        <is>
          <t>Device Permissions &amp; Media</t>
        </is>
      </c>
      <c r="D143" s="26" t="inlineStr">
        <is>
          <t>P1 - High</t>
        </is>
      </c>
      <c r="E143" s="27" t="inlineStr">
        <is>
          <t>Functional</t>
        </is>
      </c>
      <c r="F143" s="28" t="inlineStr">
        <is>
          <t>Permission - Storage / Photos Gallery Access Prompt</t>
        </is>
      </c>
      <c r="G143" s="28" t="inlineStr">
        <is>
          <t>Device hardware features available</t>
        </is>
      </c>
      <c r="H143" s="28" t="inlineStr">
        <is>
          <t>1. Tap 'Choose from Gallery'. 2. Inspect native system dialog.</t>
        </is>
      </c>
      <c r="I143" s="28" t="inlineStr">
        <is>
          <t>Gallery access</t>
        </is>
      </c>
      <c r="J143" s="28" t="inlineStr">
        <is>
          <t>Permission dialog requests Read Storage / Photos permission</t>
        </is>
      </c>
      <c r="K143" s="28" t="inlineStr">
        <is>
          <t>As expected - Approved</t>
        </is>
      </c>
      <c r="L143" s="25" t="inlineStr">
        <is>
          <t>Pass</t>
        </is>
      </c>
      <c r="M143" s="27" t="inlineStr">
        <is>
          <t>Automated</t>
        </is>
      </c>
    </row>
    <row r="144">
      <c r="A144" s="22" t="inlineStr">
        <is>
          <t>TC_APP_143</t>
        </is>
      </c>
      <c r="B144" s="23" t="inlineStr">
        <is>
          <t>Mobile E2E</t>
        </is>
      </c>
      <c r="C144" s="24" t="inlineStr">
        <is>
          <t>Device Permissions &amp; Media</t>
        </is>
      </c>
      <c r="D144" s="22" t="inlineStr">
        <is>
          <t>P1 - High</t>
        </is>
      </c>
      <c r="E144" s="23" t="inlineStr">
        <is>
          <t>Functional</t>
        </is>
      </c>
      <c r="F144" s="24" t="inlineStr">
        <is>
          <t>Permission - Storage Permission Grant &amp; Image Pick</t>
        </is>
      </c>
      <c r="G144" s="24" t="inlineStr">
        <is>
          <t>Device hardware features available</t>
        </is>
      </c>
      <c r="H144" s="24" t="inlineStr">
        <is>
          <t>1. Grant photos permission and pick image. 2. Inspect native system dialog.</t>
        </is>
      </c>
      <c r="I144" s="24" t="inlineStr">
        <is>
          <t>Photo picker</t>
        </is>
      </c>
      <c r="J144" s="24" t="inlineStr">
        <is>
          <t>Selected photo loaded into food listing preview</t>
        </is>
      </c>
      <c r="K144" s="24" t="inlineStr">
        <is>
          <t>As expected - Approved</t>
        </is>
      </c>
      <c r="L144" s="25" t="inlineStr">
        <is>
          <t>Pass</t>
        </is>
      </c>
      <c r="M144" s="23" t="inlineStr">
        <is>
          <t>Automated</t>
        </is>
      </c>
    </row>
    <row r="145">
      <c r="A145" s="26" t="inlineStr">
        <is>
          <t>TC_APP_144</t>
        </is>
      </c>
      <c r="B145" s="27" t="inlineStr">
        <is>
          <t>Mobile E2E</t>
        </is>
      </c>
      <c r="C145" s="28" t="inlineStr">
        <is>
          <t>Device Permissions &amp; Media</t>
        </is>
      </c>
      <c r="D145" s="26" t="inlineStr">
        <is>
          <t>P1 - High</t>
        </is>
      </c>
      <c r="E145" s="27" t="inlineStr">
        <is>
          <t>Functional</t>
        </is>
      </c>
      <c r="F145" s="28" t="inlineStr">
        <is>
          <t>Permission - Push Notification Permission Prompt</t>
        </is>
      </c>
      <c r="G145" s="28" t="inlineStr">
        <is>
          <t>Device hardware features available</t>
        </is>
      </c>
      <c r="H145" s="28" t="inlineStr">
        <is>
          <t>1. First app launch on Android 13+. 2. Inspect native system dialog.</t>
        </is>
      </c>
      <c r="I145" s="28" t="inlineStr">
        <is>
          <t>POST_NOTIFICATIONS</t>
        </is>
      </c>
      <c r="J145" s="28" t="inlineStr">
        <is>
          <t>System notification permission dialog presented</t>
        </is>
      </c>
      <c r="K145" s="28" t="inlineStr">
        <is>
          <t>As expected - Approved</t>
        </is>
      </c>
      <c r="L145" s="25" t="inlineStr">
        <is>
          <t>Pass</t>
        </is>
      </c>
      <c r="M145" s="27" t="inlineStr">
        <is>
          <t>Automated</t>
        </is>
      </c>
    </row>
    <row r="146">
      <c r="A146" s="22" t="inlineStr">
        <is>
          <t>TC_APP_145</t>
        </is>
      </c>
      <c r="B146" s="23" t="inlineStr">
        <is>
          <t>Mobile E2E</t>
        </is>
      </c>
      <c r="C146" s="24" t="inlineStr">
        <is>
          <t>Device Permissions &amp; Media</t>
        </is>
      </c>
      <c r="D146" s="22" t="inlineStr">
        <is>
          <t>P1 - High</t>
        </is>
      </c>
      <c r="E146" s="23" t="inlineStr">
        <is>
          <t>Functional</t>
        </is>
      </c>
      <c r="F146" s="24" t="inlineStr">
        <is>
          <t>Permission - Push Notification Permission Grant</t>
        </is>
      </c>
      <c r="G146" s="24" t="inlineStr">
        <is>
          <t>Device hardware features available</t>
        </is>
      </c>
      <c r="H146" s="24" t="inlineStr">
        <is>
          <t>1. Allow notifications. 2. Inspect native system dialog.</t>
        </is>
      </c>
      <c r="I146" s="24" t="inlineStr">
        <is>
          <t>Notification grant</t>
        </is>
      </c>
      <c r="J146" s="24" t="inlineStr">
        <is>
          <t>Device registers FCM push token with backend</t>
        </is>
      </c>
      <c r="K146" s="24" t="inlineStr">
        <is>
          <t>As expected - Approved</t>
        </is>
      </c>
      <c r="L146" s="25" t="inlineStr">
        <is>
          <t>Pass</t>
        </is>
      </c>
      <c r="M146" s="23" t="inlineStr">
        <is>
          <t>Automated</t>
        </is>
      </c>
    </row>
    <row r="147">
      <c r="A147" s="26" t="inlineStr">
        <is>
          <t>TC_APP_146</t>
        </is>
      </c>
      <c r="B147" s="27" t="inlineStr">
        <is>
          <t>Mobile E2E</t>
        </is>
      </c>
      <c r="C147" s="28" t="inlineStr">
        <is>
          <t>Device Permissions &amp; Media</t>
        </is>
      </c>
      <c r="D147" s="26" t="inlineStr">
        <is>
          <t>P1 - High</t>
        </is>
      </c>
      <c r="E147" s="27" t="inlineStr">
        <is>
          <t>Functional</t>
        </is>
      </c>
      <c r="F147" s="28" t="inlineStr">
        <is>
          <t>Permission - Push Notification Permission Denied</t>
        </is>
      </c>
      <c r="G147" s="28" t="inlineStr">
        <is>
          <t>Device hardware features available</t>
        </is>
      </c>
      <c r="H147" s="28" t="inlineStr">
        <is>
          <t>1. Deny notifications. 2. Inspect native system dialog.</t>
        </is>
      </c>
      <c r="I147" s="28" t="inlineStr">
        <is>
          <t>Notification deny</t>
        </is>
      </c>
      <c r="J147" s="28" t="inlineStr">
        <is>
          <t>App functions normally; in-app notification center handles alerts</t>
        </is>
      </c>
      <c r="K147" s="28" t="inlineStr">
        <is>
          <t>As expected - Approved</t>
        </is>
      </c>
      <c r="L147" s="25" t="inlineStr">
        <is>
          <t>Pass</t>
        </is>
      </c>
      <c r="M147" s="27" t="inlineStr">
        <is>
          <t>Automated</t>
        </is>
      </c>
    </row>
    <row r="148">
      <c r="A148" s="22" t="inlineStr">
        <is>
          <t>TC_APP_147</t>
        </is>
      </c>
      <c r="B148" s="23" t="inlineStr">
        <is>
          <t>Mobile E2E</t>
        </is>
      </c>
      <c r="C148" s="24" t="inlineStr">
        <is>
          <t>Device Permissions &amp; Media</t>
        </is>
      </c>
      <c r="D148" s="22" t="inlineStr">
        <is>
          <t>P1 - High</t>
        </is>
      </c>
      <c r="E148" s="23" t="inlineStr">
        <is>
          <t>Functional</t>
        </is>
      </c>
      <c r="F148" s="24" t="inlineStr">
        <is>
          <t>Permission - Microphone Permission Request (Voice Search)</t>
        </is>
      </c>
      <c r="G148" s="24" t="inlineStr">
        <is>
          <t>Device hardware features available</t>
        </is>
      </c>
      <c r="H148" s="24" t="inlineStr">
        <is>
          <t>1. Tap microphone icon in search bar. 2. Inspect native system dialog.</t>
        </is>
      </c>
      <c r="I148" s="24" t="inlineStr">
        <is>
          <t>Voice search tap</t>
        </is>
      </c>
      <c r="J148" s="24" t="inlineStr">
        <is>
          <t>Requests Audio Recording permission</t>
        </is>
      </c>
      <c r="K148" s="24" t="inlineStr">
        <is>
          <t>As expected - Approved</t>
        </is>
      </c>
      <c r="L148" s="25" t="inlineStr">
        <is>
          <t>Pass</t>
        </is>
      </c>
      <c r="M148" s="23" t="inlineStr">
        <is>
          <t>Automated</t>
        </is>
      </c>
    </row>
    <row r="149">
      <c r="A149" s="26" t="inlineStr">
        <is>
          <t>TC_APP_148</t>
        </is>
      </c>
      <c r="B149" s="27" t="inlineStr">
        <is>
          <t>Mobile E2E</t>
        </is>
      </c>
      <c r="C149" s="28" t="inlineStr">
        <is>
          <t>Device Permissions &amp; Media</t>
        </is>
      </c>
      <c r="D149" s="26" t="inlineStr">
        <is>
          <t>P1 - High</t>
        </is>
      </c>
      <c r="E149" s="27" t="inlineStr">
        <is>
          <t>Functional</t>
        </is>
      </c>
      <c r="F149" s="28" t="inlineStr">
        <is>
          <t>Permission - Microphone Permission Grant &amp; Voice Search</t>
        </is>
      </c>
      <c r="G149" s="28" t="inlineStr">
        <is>
          <t>Device hardware features available</t>
        </is>
      </c>
      <c r="H149" s="28" t="inlineStr">
        <is>
          <t>1. Speak 'Apples' into microphone. 2. Inspect native system dialog.</t>
        </is>
      </c>
      <c r="I149" s="28" t="inlineStr">
        <is>
          <t>Voice input</t>
        </is>
      </c>
      <c r="J149" s="28" t="inlineStr">
        <is>
          <t>Speech recognized and populates search query 'Apples'</t>
        </is>
      </c>
      <c r="K149" s="28" t="inlineStr">
        <is>
          <t>As expected - Approved</t>
        </is>
      </c>
      <c r="L149" s="25" t="inlineStr">
        <is>
          <t>Pass</t>
        </is>
      </c>
      <c r="M149" s="27" t="inlineStr">
        <is>
          <t>Automated</t>
        </is>
      </c>
    </row>
    <row r="150">
      <c r="A150" s="22" t="inlineStr">
        <is>
          <t>TC_APP_149</t>
        </is>
      </c>
      <c r="B150" s="23" t="inlineStr">
        <is>
          <t>Mobile E2E</t>
        </is>
      </c>
      <c r="C150" s="24" t="inlineStr">
        <is>
          <t>Device Permissions &amp; Media</t>
        </is>
      </c>
      <c r="D150" s="22" t="inlineStr">
        <is>
          <t>P1 - High</t>
        </is>
      </c>
      <c r="E150" s="23" t="inlineStr">
        <is>
          <t>Functional</t>
        </is>
      </c>
      <c r="F150" s="24" t="inlineStr">
        <is>
          <t>Permission - Bluetooth Permission Request (Beacon Pickup)</t>
        </is>
      </c>
      <c r="G150" s="24" t="inlineStr">
        <is>
          <t>Device hardware features available</t>
        </is>
      </c>
      <c r="H150" s="24" t="inlineStr">
        <is>
          <t>1. Approach food pickup beacon point. 2. Inspect native system dialog.</t>
        </is>
      </c>
      <c r="I150" s="24" t="inlineStr">
        <is>
          <t>Bluetooth scan</t>
        </is>
      </c>
      <c r="J150" s="24" t="inlineStr">
        <is>
          <t>Requests Nearby Devices permission</t>
        </is>
      </c>
      <c r="K150" s="24" t="inlineStr">
        <is>
          <t>As expected - Approved</t>
        </is>
      </c>
      <c r="L150" s="25" t="inlineStr">
        <is>
          <t>Pass</t>
        </is>
      </c>
      <c r="M150" s="23" t="inlineStr">
        <is>
          <t>Automated</t>
        </is>
      </c>
    </row>
    <row r="151">
      <c r="A151" s="26" t="inlineStr">
        <is>
          <t>TC_APP_150</t>
        </is>
      </c>
      <c r="B151" s="27" t="inlineStr">
        <is>
          <t>Mobile E2E</t>
        </is>
      </c>
      <c r="C151" s="28" t="inlineStr">
        <is>
          <t>Device Permissions &amp; Media</t>
        </is>
      </c>
      <c r="D151" s="26" t="inlineStr">
        <is>
          <t>P1 - High</t>
        </is>
      </c>
      <c r="E151" s="27" t="inlineStr">
        <is>
          <t>Functional</t>
        </is>
      </c>
      <c r="F151" s="28" t="inlineStr">
        <is>
          <t>Permission - Contacts Permission Request (Share App)</t>
        </is>
      </c>
      <c r="G151" s="28" t="inlineStr">
        <is>
          <t>Device hardware features available</t>
        </is>
      </c>
      <c r="H151" s="28" t="inlineStr">
        <is>
          <t>1. Click 'Invite Friends'. 2. Inspect native system dialog.</t>
        </is>
      </c>
      <c r="I151" s="28" t="inlineStr">
        <is>
          <t>Contacts access</t>
        </is>
      </c>
      <c r="J151" s="28" t="inlineStr">
        <is>
          <t>Requests Contacts permission for sharing</t>
        </is>
      </c>
      <c r="K151" s="28" t="inlineStr">
        <is>
          <t>As expected - Approved</t>
        </is>
      </c>
      <c r="L151" s="25" t="inlineStr">
        <is>
          <t>Pass</t>
        </is>
      </c>
      <c r="M151" s="27" t="inlineStr">
        <is>
          <t>Automated</t>
        </is>
      </c>
    </row>
    <row r="152">
      <c r="A152" s="22" t="inlineStr">
        <is>
          <t>TC_APP_151</t>
        </is>
      </c>
      <c r="B152" s="23" t="inlineStr">
        <is>
          <t>Mobile E2E</t>
        </is>
      </c>
      <c r="C152" s="24" t="inlineStr">
        <is>
          <t>Device Permissions &amp; Media</t>
        </is>
      </c>
      <c r="D152" s="22" t="inlineStr">
        <is>
          <t>P2 - Medium</t>
        </is>
      </c>
      <c r="E152" s="23" t="inlineStr">
        <is>
          <t>Functional</t>
        </is>
      </c>
      <c r="F152" s="24" t="inlineStr">
        <is>
          <t>Permission - Permission Revocation Mid-Session</t>
        </is>
      </c>
      <c r="G152" s="24" t="inlineStr">
        <is>
          <t>Device hardware features available</t>
        </is>
      </c>
      <c r="H152" s="24" t="inlineStr">
        <is>
          <t>1. Revoke location permission in Settings. 2. Inspect native system dialog.</t>
        </is>
      </c>
      <c r="I152" s="24" t="inlineStr">
        <is>
          <t>Settings revocation</t>
        </is>
      </c>
      <c r="J152" s="24" t="inlineStr">
        <is>
          <t>App detects permission change without crashing</t>
        </is>
      </c>
      <c r="K152" s="24" t="inlineStr">
        <is>
          <t>As expected - Approved</t>
        </is>
      </c>
      <c r="L152" s="25" t="inlineStr">
        <is>
          <t>Pass</t>
        </is>
      </c>
      <c r="M152" s="23" t="inlineStr">
        <is>
          <t>Automated</t>
        </is>
      </c>
    </row>
    <row r="153">
      <c r="A153" s="26" t="inlineStr">
        <is>
          <t>TC_APP_152</t>
        </is>
      </c>
      <c r="B153" s="27" t="inlineStr">
        <is>
          <t>Mobile E2E</t>
        </is>
      </c>
      <c r="C153" s="28" t="inlineStr">
        <is>
          <t>Device Permissions &amp; Media</t>
        </is>
      </c>
      <c r="D153" s="26" t="inlineStr">
        <is>
          <t>P2 - Medium</t>
        </is>
      </c>
      <c r="E153" s="27" t="inlineStr">
        <is>
          <t>Functional</t>
        </is>
      </c>
      <c r="F153" s="28" t="inlineStr">
        <is>
          <t>Permission - Permission State Persistence</t>
        </is>
      </c>
      <c r="G153" s="28" t="inlineStr">
        <is>
          <t>Device hardware features available</t>
        </is>
      </c>
      <c r="H153" s="28" t="inlineStr">
        <is>
          <t>1. Reopen app after granting permissions. 2. Inspect native system dialog.</t>
        </is>
      </c>
      <c r="I153" s="28" t="inlineStr">
        <is>
          <t>App relaunch</t>
        </is>
      </c>
      <c r="J153" s="28" t="inlineStr">
        <is>
          <t>Permissions remain granted without re-prompting</t>
        </is>
      </c>
      <c r="K153" s="28" t="inlineStr">
        <is>
          <t>As expected - Approved</t>
        </is>
      </c>
      <c r="L153" s="25" t="inlineStr">
        <is>
          <t>Pass</t>
        </is>
      </c>
      <c r="M153" s="27" t="inlineStr">
        <is>
          <t>Automated</t>
        </is>
      </c>
    </row>
    <row r="154">
      <c r="A154" s="22" t="inlineStr">
        <is>
          <t>TC_APP_153</t>
        </is>
      </c>
      <c r="B154" s="23" t="inlineStr">
        <is>
          <t>Mobile E2E</t>
        </is>
      </c>
      <c r="C154" s="24" t="inlineStr">
        <is>
          <t>Device Permissions &amp; Media</t>
        </is>
      </c>
      <c r="D154" s="22" t="inlineStr">
        <is>
          <t>P2 - Medium</t>
        </is>
      </c>
      <c r="E154" s="23" t="inlineStr">
        <is>
          <t>Functional</t>
        </is>
      </c>
      <c r="F154" s="24" t="inlineStr">
        <is>
          <t>Permission - OS Settings Deep Link Shortcut</t>
        </is>
      </c>
      <c r="G154" s="24" t="inlineStr">
        <is>
          <t>Device hardware features available</t>
        </is>
      </c>
      <c r="H154" s="24" t="inlineStr">
        <is>
          <t>1. Click 'Grant in Settings' alert button. 2. Inspect native system dialog.</t>
        </is>
      </c>
      <c r="I154" s="24" t="inlineStr">
        <is>
          <t>Settings deep link</t>
        </is>
      </c>
      <c r="J154" s="24" t="inlineStr">
        <is>
          <t>Directly opens SHAREBITE App Info screen in System Settings</t>
        </is>
      </c>
      <c r="K154" s="24" t="inlineStr">
        <is>
          <t>As expected - Approved</t>
        </is>
      </c>
      <c r="L154" s="25" t="inlineStr">
        <is>
          <t>Pass</t>
        </is>
      </c>
      <c r="M154" s="23" t="inlineStr">
        <is>
          <t>Manual</t>
        </is>
      </c>
    </row>
    <row r="155">
      <c r="A155" s="26" t="inlineStr">
        <is>
          <t>TC_APP_154</t>
        </is>
      </c>
      <c r="B155" s="27" t="inlineStr">
        <is>
          <t>Mobile E2E</t>
        </is>
      </c>
      <c r="C155" s="28" t="inlineStr">
        <is>
          <t>Device Permissions &amp; Media</t>
        </is>
      </c>
      <c r="D155" s="26" t="inlineStr">
        <is>
          <t>P2 - Medium</t>
        </is>
      </c>
      <c r="E155" s="27" t="inlineStr">
        <is>
          <t>Functional</t>
        </is>
      </c>
      <c r="F155" s="28" t="inlineStr">
        <is>
          <t>Permission - Background Location Access Restriction</t>
        </is>
      </c>
      <c r="G155" s="28" t="inlineStr">
        <is>
          <t>Device hardware features available</t>
        </is>
      </c>
      <c r="H155" s="28" t="inlineStr">
        <is>
          <t>1. Check background location requests. 2. Inspect native system dialog.</t>
        </is>
      </c>
      <c r="I155" s="28" t="inlineStr">
        <is>
          <t>Manifest audit</t>
        </is>
      </c>
      <c r="J155" s="28" t="inlineStr">
        <is>
          <t>App does NOT request invasive background location access</t>
        </is>
      </c>
      <c r="K155" s="28" t="inlineStr">
        <is>
          <t>As expected - Approved</t>
        </is>
      </c>
      <c r="L155" s="25" t="inlineStr">
        <is>
          <t>Pass</t>
        </is>
      </c>
      <c r="M155" s="27" t="inlineStr">
        <is>
          <t>Manual</t>
        </is>
      </c>
    </row>
    <row r="156">
      <c r="A156" s="22" t="inlineStr">
        <is>
          <t>TC_APP_155</t>
        </is>
      </c>
      <c r="B156" s="23" t="inlineStr">
        <is>
          <t>Mobile E2E</t>
        </is>
      </c>
      <c r="C156" s="24" t="inlineStr">
        <is>
          <t>Device Permissions &amp; Media</t>
        </is>
      </c>
      <c r="D156" s="22" t="inlineStr">
        <is>
          <t>P2 - Medium</t>
        </is>
      </c>
      <c r="E156" s="23" t="inlineStr">
        <is>
          <t>Functional</t>
        </is>
      </c>
      <c r="F156" s="24" t="inlineStr">
        <is>
          <t>Permission - Media File Size Limit Check</t>
        </is>
      </c>
      <c r="G156" s="24" t="inlineStr">
        <is>
          <t>Device hardware features available</t>
        </is>
      </c>
      <c r="H156" s="24" t="inlineStr">
        <is>
          <t>1. Upload 25MB high-res photo. 2. Inspect native system dialog.</t>
        </is>
      </c>
      <c r="I156" s="24" t="inlineStr">
        <is>
          <t>25MB image file</t>
        </is>
      </c>
      <c r="J156" s="24" t="inlineStr">
        <is>
          <t>App automatically compresses image down to &lt; 1MB before upload</t>
        </is>
      </c>
      <c r="K156" s="24" t="inlineStr">
        <is>
          <t>As expected - Approved</t>
        </is>
      </c>
      <c r="L156" s="25" t="inlineStr">
        <is>
          <t>Pass</t>
        </is>
      </c>
      <c r="M156" s="23" t="inlineStr">
        <is>
          <t>Manual</t>
        </is>
      </c>
    </row>
    <row r="157">
      <c r="A157" s="26" t="inlineStr">
        <is>
          <t>TC_APP_156</t>
        </is>
      </c>
      <c r="B157" s="27" t="inlineStr">
        <is>
          <t>Mobile E2E</t>
        </is>
      </c>
      <c r="C157" s="28" t="inlineStr">
        <is>
          <t>Device Permissions &amp; Media</t>
        </is>
      </c>
      <c r="D157" s="26" t="inlineStr">
        <is>
          <t>P2 - Medium</t>
        </is>
      </c>
      <c r="E157" s="27" t="inlineStr">
        <is>
          <t>Security</t>
        </is>
      </c>
      <c r="F157" s="28" t="inlineStr">
        <is>
          <t>Permission - Image File Format Compatibility (JPEG)</t>
        </is>
      </c>
      <c r="G157" s="28" t="inlineStr">
        <is>
          <t>Device hardware features available</t>
        </is>
      </c>
      <c r="H157" s="28" t="inlineStr">
        <is>
          <t>1. Select .jpg image file. 2. Inspect native system dialog.</t>
        </is>
      </c>
      <c r="I157" s="28" t="inlineStr">
        <is>
          <t>JPEG format</t>
        </is>
      </c>
      <c r="J157" s="28" t="inlineStr">
        <is>
          <t>Image parsed and displayed correctly</t>
        </is>
      </c>
      <c r="K157" s="28" t="inlineStr">
        <is>
          <t>As expected - Approved</t>
        </is>
      </c>
      <c r="L157" s="25" t="inlineStr">
        <is>
          <t>Pass</t>
        </is>
      </c>
      <c r="M157" s="27" t="inlineStr">
        <is>
          <t>Manual</t>
        </is>
      </c>
    </row>
    <row r="158">
      <c r="A158" s="22" t="inlineStr">
        <is>
          <t>TC_APP_157</t>
        </is>
      </c>
      <c r="B158" s="23" t="inlineStr">
        <is>
          <t>Mobile E2E</t>
        </is>
      </c>
      <c r="C158" s="24" t="inlineStr">
        <is>
          <t>Device Permissions &amp; Media</t>
        </is>
      </c>
      <c r="D158" s="22" t="inlineStr">
        <is>
          <t>P2 - Medium</t>
        </is>
      </c>
      <c r="E158" s="23" t="inlineStr">
        <is>
          <t>Security</t>
        </is>
      </c>
      <c r="F158" s="24" t="inlineStr">
        <is>
          <t>Permission - Image File Format Compatibility (PNG)</t>
        </is>
      </c>
      <c r="G158" s="24" t="inlineStr">
        <is>
          <t>Device hardware features available</t>
        </is>
      </c>
      <c r="H158" s="24" t="inlineStr">
        <is>
          <t>1. Select .png image file. 2. Inspect native system dialog.</t>
        </is>
      </c>
      <c r="I158" s="24" t="inlineStr">
        <is>
          <t>PNG format</t>
        </is>
      </c>
      <c r="J158" s="24" t="inlineStr">
        <is>
          <t>Image parsed with transparency preserved</t>
        </is>
      </c>
      <c r="K158" s="24" t="inlineStr">
        <is>
          <t>As expected - Approved</t>
        </is>
      </c>
      <c r="L158" s="25" t="inlineStr">
        <is>
          <t>Pass</t>
        </is>
      </c>
      <c r="M158" s="23" t="inlineStr">
        <is>
          <t>Manual</t>
        </is>
      </c>
    </row>
    <row r="159">
      <c r="A159" s="26" t="inlineStr">
        <is>
          <t>TC_APP_158</t>
        </is>
      </c>
      <c r="B159" s="27" t="inlineStr">
        <is>
          <t>Mobile E2E</t>
        </is>
      </c>
      <c r="C159" s="28" t="inlineStr">
        <is>
          <t>Device Permissions &amp; Media</t>
        </is>
      </c>
      <c r="D159" s="26" t="inlineStr">
        <is>
          <t>P2 - Medium</t>
        </is>
      </c>
      <c r="E159" s="27" t="inlineStr">
        <is>
          <t>Security</t>
        </is>
      </c>
      <c r="F159" s="28" t="inlineStr">
        <is>
          <t>Permission - Image File Format Compatibility (WEBP)</t>
        </is>
      </c>
      <c r="G159" s="28" t="inlineStr">
        <is>
          <t>Device hardware features available</t>
        </is>
      </c>
      <c r="H159" s="28" t="inlineStr">
        <is>
          <t>1. Select .webp image file. 2. Inspect native system dialog.</t>
        </is>
      </c>
      <c r="I159" s="28" t="inlineStr">
        <is>
          <t>WEBP format</t>
        </is>
      </c>
      <c r="J159" s="28" t="inlineStr">
        <is>
          <t>Modern WEBP format supported natively</t>
        </is>
      </c>
      <c r="K159" s="28" t="inlineStr">
        <is>
          <t>As expected - Approved</t>
        </is>
      </c>
      <c r="L159" s="25" t="inlineStr">
        <is>
          <t>Pass</t>
        </is>
      </c>
      <c r="M159" s="27" t="inlineStr">
        <is>
          <t>Manual</t>
        </is>
      </c>
    </row>
    <row r="160">
      <c r="A160" s="22" t="inlineStr">
        <is>
          <t>TC_APP_159</t>
        </is>
      </c>
      <c r="B160" s="23" t="inlineStr">
        <is>
          <t>Mobile E2E</t>
        </is>
      </c>
      <c r="C160" s="24" t="inlineStr">
        <is>
          <t>Device Permissions &amp; Media</t>
        </is>
      </c>
      <c r="D160" s="22" t="inlineStr">
        <is>
          <t>P2 - Medium</t>
        </is>
      </c>
      <c r="E160" s="23" t="inlineStr">
        <is>
          <t>Security</t>
        </is>
      </c>
      <c r="F160" s="24" t="inlineStr">
        <is>
          <t>Permission - Image File Format Compatibility (HEIC)</t>
        </is>
      </c>
      <c r="G160" s="24" t="inlineStr">
        <is>
          <t>Device hardware features available</t>
        </is>
      </c>
      <c r="H160" s="24" t="inlineStr">
        <is>
          <t>1. Select .heic image on iOS/Android. 2. Inspect native system dialog.</t>
        </is>
      </c>
      <c r="I160" s="24" t="inlineStr">
        <is>
          <t>HEIC format</t>
        </is>
      </c>
      <c r="J160" s="24" t="inlineStr">
        <is>
          <t>HEIC converted to standard format smoothly</t>
        </is>
      </c>
      <c r="K160" s="24" t="inlineStr">
        <is>
          <t>As expected - Approved</t>
        </is>
      </c>
      <c r="L160" s="25" t="inlineStr">
        <is>
          <t>Pass</t>
        </is>
      </c>
      <c r="M160" s="23" t="inlineStr">
        <is>
          <t>Manual</t>
        </is>
      </c>
    </row>
    <row r="161">
      <c r="A161" s="26" t="inlineStr">
        <is>
          <t>TC_APP_160</t>
        </is>
      </c>
      <c r="B161" s="27" t="inlineStr">
        <is>
          <t>Mobile E2E</t>
        </is>
      </c>
      <c r="C161" s="28" t="inlineStr">
        <is>
          <t>Device Permissions &amp; Media</t>
        </is>
      </c>
      <c r="D161" s="26" t="inlineStr">
        <is>
          <t>P2 - Medium</t>
        </is>
      </c>
      <c r="E161" s="27" t="inlineStr">
        <is>
          <t>Security</t>
        </is>
      </c>
      <c r="F161" s="28" t="inlineStr">
        <is>
          <t>Permission - Image Auto-Rotation EXIF Data Handling</t>
        </is>
      </c>
      <c r="G161" s="28" t="inlineStr">
        <is>
          <t>Device hardware features available</t>
        </is>
      </c>
      <c r="H161" s="28" t="inlineStr">
        <is>
          <t>1. Upload photo taken in portrait orientation. 2. Inspect native system dialog.</t>
        </is>
      </c>
      <c r="I161" s="28" t="inlineStr">
        <is>
          <t>EXIF orientation</t>
        </is>
      </c>
      <c r="J161" s="28" t="inlineStr">
        <is>
          <t>Image displays right-side up using EXIF metadata</t>
        </is>
      </c>
      <c r="K161" s="28" t="inlineStr">
        <is>
          <t>As expected - Approved</t>
        </is>
      </c>
      <c r="L161" s="25" t="inlineStr">
        <is>
          <t>Pass</t>
        </is>
      </c>
      <c r="M161" s="27" t="inlineStr">
        <is>
          <t>Manual</t>
        </is>
      </c>
    </row>
    <row r="162">
      <c r="A162" s="22" t="inlineStr">
        <is>
          <t>TC_APP_161</t>
        </is>
      </c>
      <c r="B162" s="23" t="inlineStr">
        <is>
          <t>Mobile E2E</t>
        </is>
      </c>
      <c r="C162" s="24" t="inlineStr">
        <is>
          <t>Device Permissions &amp; Media</t>
        </is>
      </c>
      <c r="D162" s="22" t="inlineStr">
        <is>
          <t>P2 - Medium</t>
        </is>
      </c>
      <c r="E162" s="23" t="inlineStr">
        <is>
          <t>Security</t>
        </is>
      </c>
      <c r="F162" s="24" t="inlineStr">
        <is>
          <t>Permission - Crop &amp; Resize Image Tool Integration</t>
        </is>
      </c>
      <c r="G162" s="24" t="inlineStr">
        <is>
          <t>Device hardware features available</t>
        </is>
      </c>
      <c r="H162" s="24" t="inlineStr">
        <is>
          <t>1. Pick image for food listing. 2. Inspect native system dialog.</t>
        </is>
      </c>
      <c r="I162" s="24" t="inlineStr">
        <is>
          <t>Crop tool trigger</t>
        </is>
      </c>
      <c r="J162" s="24" t="inlineStr">
        <is>
          <t>Mobile cropping UI allows cropping image to 1:1 aspect ratio</t>
        </is>
      </c>
      <c r="K162" s="24" t="inlineStr">
        <is>
          <t>As expected - Approved</t>
        </is>
      </c>
      <c r="L162" s="25" t="inlineStr">
        <is>
          <t>Pass</t>
        </is>
      </c>
      <c r="M162" s="23" t="inlineStr">
        <is>
          <t>Manual</t>
        </is>
      </c>
    </row>
    <row r="163">
      <c r="A163" s="26" t="inlineStr">
        <is>
          <t>TC_APP_162</t>
        </is>
      </c>
      <c r="B163" s="27" t="inlineStr">
        <is>
          <t>Mobile E2E</t>
        </is>
      </c>
      <c r="C163" s="28" t="inlineStr">
        <is>
          <t>Device Permissions &amp; Media</t>
        </is>
      </c>
      <c r="D163" s="26" t="inlineStr">
        <is>
          <t>P2 - Medium</t>
        </is>
      </c>
      <c r="E163" s="27" t="inlineStr">
        <is>
          <t>Security</t>
        </is>
      </c>
      <c r="F163" s="28" t="inlineStr">
        <is>
          <t>Permission - Camera Flash Toggle in Capture View</t>
        </is>
      </c>
      <c r="G163" s="28" t="inlineStr">
        <is>
          <t>Device hardware features available</t>
        </is>
      </c>
      <c r="H163" s="28" t="inlineStr">
        <is>
          <t>1. Toggle flash ON in camera view. 2. Inspect native system dialog.</t>
        </is>
      </c>
      <c r="I163" s="28" t="inlineStr">
        <is>
          <t>Flash toggle</t>
        </is>
      </c>
      <c r="J163" s="28" t="inlineStr">
        <is>
          <t>Camera LED flash fires during capture</t>
        </is>
      </c>
      <c r="K163" s="28" t="inlineStr">
        <is>
          <t>As expected - Approved</t>
        </is>
      </c>
      <c r="L163" s="25" t="inlineStr">
        <is>
          <t>Pass</t>
        </is>
      </c>
      <c r="M163" s="27" t="inlineStr">
        <is>
          <t>Manual</t>
        </is>
      </c>
    </row>
    <row r="164">
      <c r="A164" s="22" t="inlineStr">
        <is>
          <t>TC_APP_163</t>
        </is>
      </c>
      <c r="B164" s="23" t="inlineStr">
        <is>
          <t>Mobile E2E</t>
        </is>
      </c>
      <c r="C164" s="24" t="inlineStr">
        <is>
          <t>Device Permissions &amp; Media</t>
        </is>
      </c>
      <c r="D164" s="22" t="inlineStr">
        <is>
          <t>P2 - Medium</t>
        </is>
      </c>
      <c r="E164" s="23" t="inlineStr">
        <is>
          <t>Security</t>
        </is>
      </c>
      <c r="F164" s="24" t="inlineStr">
        <is>
          <t>Permission - Front vs Rear Camera Switch</t>
        </is>
      </c>
      <c r="G164" s="24" t="inlineStr">
        <is>
          <t>Device hardware features available</t>
        </is>
      </c>
      <c r="H164" s="24" t="inlineStr">
        <is>
          <t>1. Tap camera flip button. 2. Inspect native system dialog.</t>
        </is>
      </c>
      <c r="I164" s="24" t="inlineStr">
        <is>
          <t>Camera switch</t>
        </is>
      </c>
      <c r="J164" s="24" t="inlineStr">
        <is>
          <t>Switches preview between selfie and rear camera</t>
        </is>
      </c>
      <c r="K164" s="24" t="inlineStr">
        <is>
          <t>As expected - Approved</t>
        </is>
      </c>
      <c r="L164" s="25" t="inlineStr">
        <is>
          <t>Pass</t>
        </is>
      </c>
      <c r="M164" s="23" t="inlineStr">
        <is>
          <t>Manual</t>
        </is>
      </c>
    </row>
    <row r="165">
      <c r="A165" s="26" t="inlineStr">
        <is>
          <t>TC_APP_164</t>
        </is>
      </c>
      <c r="B165" s="27" t="inlineStr">
        <is>
          <t>Mobile E2E</t>
        </is>
      </c>
      <c r="C165" s="28" t="inlineStr">
        <is>
          <t>Device Permissions &amp; Media</t>
        </is>
      </c>
      <c r="D165" s="26" t="inlineStr">
        <is>
          <t>P2 - Medium</t>
        </is>
      </c>
      <c r="E165" s="27" t="inlineStr">
        <is>
          <t>Security</t>
        </is>
      </c>
      <c r="F165" s="28" t="inlineStr">
        <is>
          <t>Permission - Storage Full / Out of Disk Space Error</t>
        </is>
      </c>
      <c r="G165" s="28" t="inlineStr">
        <is>
          <t>Device hardware features available</t>
        </is>
      </c>
      <c r="H165" s="28" t="inlineStr">
        <is>
          <t>1. Attempt saving photo with 0 MB disk space. 2. Inspect native system dialog.</t>
        </is>
      </c>
      <c r="I165" s="28" t="inlineStr">
        <is>
          <t>Disk full simulation</t>
        </is>
      </c>
      <c r="J165" s="28" t="inlineStr">
        <is>
          <t>Presents friendly error alert 'Insufficient storage space'</t>
        </is>
      </c>
      <c r="K165" s="28" t="inlineStr">
        <is>
          <t>As expected - Approved</t>
        </is>
      </c>
      <c r="L165" s="25" t="inlineStr">
        <is>
          <t>Pass</t>
        </is>
      </c>
      <c r="M165" s="27" t="inlineStr">
        <is>
          <t>Manual</t>
        </is>
      </c>
    </row>
    <row r="166">
      <c r="A166" s="22" t="inlineStr">
        <is>
          <t>TC_APP_165</t>
        </is>
      </c>
      <c r="B166" s="23" t="inlineStr">
        <is>
          <t>Mobile E2E</t>
        </is>
      </c>
      <c r="C166" s="24" t="inlineStr">
        <is>
          <t>Device Permissions &amp; Media</t>
        </is>
      </c>
      <c r="D166" s="22" t="inlineStr">
        <is>
          <t>P2 - Medium</t>
        </is>
      </c>
      <c r="E166" s="23" t="inlineStr">
        <is>
          <t>Security</t>
        </is>
      </c>
      <c r="F166" s="24" t="inlineStr">
        <is>
          <t>Permission - Privacy Policy Link in Permission Prompts</t>
        </is>
      </c>
      <c r="G166" s="24" t="inlineStr">
        <is>
          <t>Device hardware features available</t>
        </is>
      </c>
      <c r="H166" s="24" t="inlineStr">
        <is>
          <t>1. Inspect permission explanation dialogs. 2. Inspect native system dialog.</t>
        </is>
      </c>
      <c r="I166" s="24" t="inlineStr">
        <is>
          <t>Privacy link</t>
        </is>
      </c>
      <c r="J166" s="24" t="inlineStr">
        <is>
          <t>Includes link explaining why permission is required</t>
        </is>
      </c>
      <c r="K166" s="24" t="inlineStr">
        <is>
          <t>As expected - Approved</t>
        </is>
      </c>
      <c r="L166" s="25" t="inlineStr">
        <is>
          <t>Pass</t>
        </is>
      </c>
      <c r="M166" s="23" t="inlineStr">
        <is>
          <t>Manual</t>
        </is>
      </c>
    </row>
    <row r="167">
      <c r="A167" s="26" t="inlineStr">
        <is>
          <t>TC_APP_166</t>
        </is>
      </c>
      <c r="B167" s="27" t="inlineStr">
        <is>
          <t>Mobile E2E</t>
        </is>
      </c>
      <c r="C167" s="28" t="inlineStr">
        <is>
          <t>Push Notifications &amp; Deep Links</t>
        </is>
      </c>
      <c r="D167" s="26" t="inlineStr">
        <is>
          <t>P1 - High</t>
        </is>
      </c>
      <c r="E167" s="27" t="inlineStr">
        <is>
          <t>Functional</t>
        </is>
      </c>
      <c r="F167" s="28" t="inlineStr">
        <is>
          <t>Notification - FCM Push Token Registration</t>
        </is>
      </c>
      <c r="G167" s="28" t="inlineStr">
        <is>
          <t>FCM / APNS notification channel configured</t>
        </is>
      </c>
      <c r="H167" s="28" t="inlineStr">
        <is>
          <t>1. Launch app and check token generation. 2. Verify notification behavior.</t>
        </is>
      </c>
      <c r="I167" s="28" t="inlineStr">
        <is>
          <t>Firebase Cloud Messaging</t>
        </is>
      </c>
      <c r="J167" s="28" t="inlineStr">
        <is>
          <t>FCM token generated and sent to backend server</t>
        </is>
      </c>
      <c r="K167" s="28" t="inlineStr">
        <is>
          <t>As expected - Approved</t>
        </is>
      </c>
      <c r="L167" s="25" t="inlineStr">
        <is>
          <t>Pass</t>
        </is>
      </c>
      <c r="M167" s="27" t="inlineStr">
        <is>
          <t>Automated</t>
        </is>
      </c>
    </row>
    <row r="168">
      <c r="A168" s="22" t="inlineStr">
        <is>
          <t>TC_APP_167</t>
        </is>
      </c>
      <c r="B168" s="23" t="inlineStr">
        <is>
          <t>Mobile E2E</t>
        </is>
      </c>
      <c r="C168" s="24" t="inlineStr">
        <is>
          <t>Push Notifications &amp; Deep Links</t>
        </is>
      </c>
      <c r="D168" s="22" t="inlineStr">
        <is>
          <t>P1 - High</t>
        </is>
      </c>
      <c r="E168" s="23" t="inlineStr">
        <is>
          <t>Functional</t>
        </is>
      </c>
      <c r="F168" s="24" t="inlineStr">
        <is>
          <t>Notification - Receive Foreground Push Notification</t>
        </is>
      </c>
      <c r="G168" s="24" t="inlineStr">
        <is>
          <t>FCM / APNS notification channel configured</t>
        </is>
      </c>
      <c r="H168" s="24" t="inlineStr">
        <is>
          <t>1. Send push alert while app is open. 2. Verify notification behavior.</t>
        </is>
      </c>
      <c r="I168" s="24" t="inlineStr">
        <is>
          <t>Claim Approved Push</t>
        </is>
      </c>
      <c r="J168" s="24" t="inlineStr">
        <is>
          <t>In-app toast banner slides down from top screen edge</t>
        </is>
      </c>
      <c r="K168" s="24" t="inlineStr">
        <is>
          <t>As expected - Approved</t>
        </is>
      </c>
      <c r="L168" s="25" t="inlineStr">
        <is>
          <t>Pass</t>
        </is>
      </c>
      <c r="M168" s="23" t="inlineStr">
        <is>
          <t>Automated</t>
        </is>
      </c>
    </row>
    <row r="169">
      <c r="A169" s="26" t="inlineStr">
        <is>
          <t>TC_APP_168</t>
        </is>
      </c>
      <c r="B169" s="27" t="inlineStr">
        <is>
          <t>Mobile E2E</t>
        </is>
      </c>
      <c r="C169" s="28" t="inlineStr">
        <is>
          <t>Push Notifications &amp; Deep Links</t>
        </is>
      </c>
      <c r="D169" s="26" t="inlineStr">
        <is>
          <t>P1 - High</t>
        </is>
      </c>
      <c r="E169" s="27" t="inlineStr">
        <is>
          <t>Functional</t>
        </is>
      </c>
      <c r="F169" s="28" t="inlineStr">
        <is>
          <t>Notification - Receive Background Push Notification</t>
        </is>
      </c>
      <c r="G169" s="28" t="inlineStr">
        <is>
          <t>FCM / APNS notification channel configured</t>
        </is>
      </c>
      <c r="H169" s="28" t="inlineStr">
        <is>
          <t>1. Send push alert while app minimized. 2. Verify notification behavior.</t>
        </is>
      </c>
      <c r="I169" s="28" t="inlineStr">
        <is>
          <t>Food Alert Push</t>
        </is>
      </c>
      <c r="J169" s="28" t="inlineStr">
        <is>
          <t>System notification banner appears in Android notification shade</t>
        </is>
      </c>
      <c r="K169" s="28" t="inlineStr">
        <is>
          <t>As expected - Approved</t>
        </is>
      </c>
      <c r="L169" s="25" t="inlineStr">
        <is>
          <t>Pass</t>
        </is>
      </c>
      <c r="M169" s="27" t="inlineStr">
        <is>
          <t>Automated</t>
        </is>
      </c>
    </row>
    <row r="170">
      <c r="A170" s="22" t="inlineStr">
        <is>
          <t>TC_APP_169</t>
        </is>
      </c>
      <c r="B170" s="23" t="inlineStr">
        <is>
          <t>Mobile E2E</t>
        </is>
      </c>
      <c r="C170" s="24" t="inlineStr">
        <is>
          <t>Push Notifications &amp; Deep Links</t>
        </is>
      </c>
      <c r="D170" s="22" t="inlineStr">
        <is>
          <t>P1 - High</t>
        </is>
      </c>
      <c r="E170" s="23" t="inlineStr">
        <is>
          <t>Functional</t>
        </is>
      </c>
      <c r="F170" s="24" t="inlineStr">
        <is>
          <t>Notification - Push Notification Badge Count Update</t>
        </is>
      </c>
      <c r="G170" s="24" t="inlineStr">
        <is>
          <t>FCM / APNS notification channel configured</t>
        </is>
      </c>
      <c r="H170" s="24" t="inlineStr">
        <is>
          <t>1. Receive 3 unread push notifications. 2. Verify notification behavior.</t>
        </is>
      </c>
      <c r="I170" s="24" t="inlineStr">
        <is>
          <t>Notification payload</t>
        </is>
      </c>
      <c r="J170" s="24" t="inlineStr">
        <is>
          <t>App launcher icon displays badge count '3'</t>
        </is>
      </c>
      <c r="K170" s="24" t="inlineStr">
        <is>
          <t>As expected - Approved</t>
        </is>
      </c>
      <c r="L170" s="25" t="inlineStr">
        <is>
          <t>Pass</t>
        </is>
      </c>
      <c r="M170" s="23" t="inlineStr">
        <is>
          <t>Automated</t>
        </is>
      </c>
    </row>
    <row r="171">
      <c r="A171" s="26" t="inlineStr">
        <is>
          <t>TC_APP_170</t>
        </is>
      </c>
      <c r="B171" s="27" t="inlineStr">
        <is>
          <t>Mobile E2E</t>
        </is>
      </c>
      <c r="C171" s="28" t="inlineStr">
        <is>
          <t>Push Notifications &amp; Deep Links</t>
        </is>
      </c>
      <c r="D171" s="26" t="inlineStr">
        <is>
          <t>P1 - High</t>
        </is>
      </c>
      <c r="E171" s="27" t="inlineStr">
        <is>
          <t>Functional</t>
        </is>
      </c>
      <c r="F171" s="28" t="inlineStr">
        <is>
          <t>Notification - Tap Push Notification - Deep Link Navigation</t>
        </is>
      </c>
      <c r="G171" s="28" t="inlineStr">
        <is>
          <t>FCM / APNS notification channel configured</t>
        </is>
      </c>
      <c r="H171" s="28" t="inlineStr">
        <is>
          <t>1. Tap notification 'Food Claim Approved!'. 2. Verify notification behavior.</t>
        </is>
      </c>
      <c r="I171" s="28" t="inlineStr">
        <is>
          <t>Notification tap</t>
        </is>
      </c>
      <c r="J171" s="28" t="inlineStr">
        <is>
          <t>App opens directly to specific Claim Detail screen</t>
        </is>
      </c>
      <c r="K171" s="28" t="inlineStr">
        <is>
          <t>As expected - Approved</t>
        </is>
      </c>
      <c r="L171" s="25" t="inlineStr">
        <is>
          <t>Pass</t>
        </is>
      </c>
      <c r="M171" s="27" t="inlineStr">
        <is>
          <t>Automated</t>
        </is>
      </c>
    </row>
    <row r="172">
      <c r="A172" s="22" t="inlineStr">
        <is>
          <t>TC_APP_171</t>
        </is>
      </c>
      <c r="B172" s="23" t="inlineStr">
        <is>
          <t>Mobile E2E</t>
        </is>
      </c>
      <c r="C172" s="24" t="inlineStr">
        <is>
          <t>Push Notifications &amp; Deep Links</t>
        </is>
      </c>
      <c r="D172" s="22" t="inlineStr">
        <is>
          <t>P1 - High</t>
        </is>
      </c>
      <c r="E172" s="23" t="inlineStr">
        <is>
          <t>Functional</t>
        </is>
      </c>
      <c r="F172" s="24" t="inlineStr">
        <is>
          <t>Notification - Tap Push Notification - App Cold Start</t>
        </is>
      </c>
      <c r="G172" s="24" t="inlineStr">
        <is>
          <t>FCM / APNS notification channel configured</t>
        </is>
      </c>
      <c r="H172" s="24" t="inlineStr">
        <is>
          <t>1. Tap notification when app is closed. 2. Verify notification behavior.</t>
        </is>
      </c>
      <c r="I172" s="24" t="inlineStr">
        <is>
          <t>Notification launch</t>
        </is>
      </c>
      <c r="J172" s="24" t="inlineStr">
        <is>
          <t>App launches, authenticates session, and opens target detail view</t>
        </is>
      </c>
      <c r="K172" s="24" t="inlineStr">
        <is>
          <t>As expected - Approved</t>
        </is>
      </c>
      <c r="L172" s="25" t="inlineStr">
        <is>
          <t>Pass</t>
        </is>
      </c>
      <c r="M172" s="23" t="inlineStr">
        <is>
          <t>Automated</t>
        </is>
      </c>
    </row>
    <row r="173">
      <c r="A173" s="26" t="inlineStr">
        <is>
          <t>TC_APP_172</t>
        </is>
      </c>
      <c r="B173" s="27" t="inlineStr">
        <is>
          <t>Mobile E2E</t>
        </is>
      </c>
      <c r="C173" s="28" t="inlineStr">
        <is>
          <t>Push Notifications &amp; Deep Links</t>
        </is>
      </c>
      <c r="D173" s="26" t="inlineStr">
        <is>
          <t>P1 - High</t>
        </is>
      </c>
      <c r="E173" s="27" t="inlineStr">
        <is>
          <t>Functional</t>
        </is>
      </c>
      <c r="F173" s="28" t="inlineStr">
        <is>
          <t>Notification - Push Notification Action Buttons (Accept/Reject)</t>
        </is>
      </c>
      <c r="G173" s="28" t="inlineStr">
        <is>
          <t>FCM / APNS notification channel configured</t>
        </is>
      </c>
      <c r="H173" s="28" t="inlineStr">
        <is>
          <t>1. Expand notification in shade. 2. Verify notification behavior.</t>
        </is>
      </c>
      <c r="I173" s="28" t="inlineStr">
        <is>
          <t>Notification action buttons</t>
        </is>
      </c>
      <c r="J173" s="28" t="inlineStr">
        <is>
          <t>Displays 'View Claim' and 'Dismiss' quick buttons</t>
        </is>
      </c>
      <c r="K173" s="28" t="inlineStr">
        <is>
          <t>As expected - Approved</t>
        </is>
      </c>
      <c r="L173" s="25" t="inlineStr">
        <is>
          <t>Pass</t>
        </is>
      </c>
      <c r="M173" s="27" t="inlineStr">
        <is>
          <t>Automated</t>
        </is>
      </c>
    </row>
    <row r="174">
      <c r="A174" s="22" t="inlineStr">
        <is>
          <t>TC_APP_173</t>
        </is>
      </c>
      <c r="B174" s="23" t="inlineStr">
        <is>
          <t>Mobile E2E</t>
        </is>
      </c>
      <c r="C174" s="24" t="inlineStr">
        <is>
          <t>Push Notifications &amp; Deep Links</t>
        </is>
      </c>
      <c r="D174" s="22" t="inlineStr">
        <is>
          <t>P1 - High</t>
        </is>
      </c>
      <c r="E174" s="23" t="inlineStr">
        <is>
          <t>Functional</t>
        </is>
      </c>
      <c r="F174" s="24" t="inlineStr">
        <is>
          <t>Notification - Tap Notification Quick Action Button</t>
        </is>
      </c>
      <c r="G174" s="24" t="inlineStr">
        <is>
          <t>FCM / APNS notification channel configured</t>
        </is>
      </c>
      <c r="H174" s="24" t="inlineStr">
        <is>
          <t>1. Tap 'View Claim' button in notification. 2. Verify notification behavior.</t>
        </is>
      </c>
      <c r="I174" s="24" t="inlineStr">
        <is>
          <t>Action button tap</t>
        </is>
      </c>
      <c r="J174" s="24" t="inlineStr">
        <is>
          <t>Navigates directly to claim screen without extra taps</t>
        </is>
      </c>
      <c r="K174" s="24" t="inlineStr">
        <is>
          <t>As expected - Approved</t>
        </is>
      </c>
      <c r="L174" s="25" t="inlineStr">
        <is>
          <t>Pass</t>
        </is>
      </c>
      <c r="M174" s="23" t="inlineStr">
        <is>
          <t>Automated</t>
        </is>
      </c>
    </row>
    <row r="175">
      <c r="A175" s="26" t="inlineStr">
        <is>
          <t>TC_APP_174</t>
        </is>
      </c>
      <c r="B175" s="27" t="inlineStr">
        <is>
          <t>Mobile E2E</t>
        </is>
      </c>
      <c r="C175" s="28" t="inlineStr">
        <is>
          <t>Push Notifications &amp; Deep Links</t>
        </is>
      </c>
      <c r="D175" s="26" t="inlineStr">
        <is>
          <t>P1 - High</t>
        </is>
      </c>
      <c r="E175" s="27" t="inlineStr">
        <is>
          <t>Functional</t>
        </is>
      </c>
      <c r="F175" s="28" t="inlineStr">
        <is>
          <t>Notification - Custom Push Notification Sound</t>
        </is>
      </c>
      <c r="G175" s="28" t="inlineStr">
        <is>
          <t>FCM / APNS notification channel configured</t>
        </is>
      </c>
      <c r="H175" s="28" t="inlineStr">
        <is>
          <t>1. Receive high-priority alert notification. 2. Verify notification behavior.</t>
        </is>
      </c>
      <c r="I175" s="28" t="inlineStr">
        <is>
          <t>Custom audio payload</t>
        </is>
      </c>
      <c r="J175" s="28" t="inlineStr">
        <is>
          <t>Plays distinct ShareBite alert chime sound</t>
        </is>
      </c>
      <c r="K175" s="28" t="inlineStr">
        <is>
          <t>As expected - Approved</t>
        </is>
      </c>
      <c r="L175" s="25" t="inlineStr">
        <is>
          <t>Pass</t>
        </is>
      </c>
      <c r="M175" s="27" t="inlineStr">
        <is>
          <t>Automated</t>
        </is>
      </c>
    </row>
    <row r="176">
      <c r="A176" s="22" t="inlineStr">
        <is>
          <t>TC_APP_175</t>
        </is>
      </c>
      <c r="B176" s="23" t="inlineStr">
        <is>
          <t>Mobile E2E</t>
        </is>
      </c>
      <c r="C176" s="24" t="inlineStr">
        <is>
          <t>Push Notifications &amp; Deep Links</t>
        </is>
      </c>
      <c r="D176" s="22" t="inlineStr">
        <is>
          <t>P1 - High</t>
        </is>
      </c>
      <c r="E176" s="23" t="inlineStr">
        <is>
          <t>Functional</t>
        </is>
      </c>
      <c r="F176" s="24" t="inlineStr">
        <is>
          <t>Notification - Push Notification Vibration Pattern</t>
        </is>
      </c>
      <c r="G176" s="24" t="inlineStr">
        <is>
          <t>FCM / APNS notification channel configured</t>
        </is>
      </c>
      <c r="H176" s="24" t="inlineStr">
        <is>
          <t>1. Receive push alert in silent mode. 2. Verify notification behavior.</t>
        </is>
      </c>
      <c r="I176" s="24" t="inlineStr">
        <is>
          <t>Vibration pattern</t>
        </is>
      </c>
      <c r="J176" s="24" t="inlineStr">
        <is>
          <t>Vibrates device using custom rhythm pattern</t>
        </is>
      </c>
      <c r="K176" s="24" t="inlineStr">
        <is>
          <t>As expected - Approved</t>
        </is>
      </c>
      <c r="L176" s="25" t="inlineStr">
        <is>
          <t>Pass</t>
        </is>
      </c>
      <c r="M176" s="23" t="inlineStr">
        <is>
          <t>Automated</t>
        </is>
      </c>
    </row>
    <row r="177">
      <c r="A177" s="26" t="inlineStr">
        <is>
          <t>TC_APP_176</t>
        </is>
      </c>
      <c r="B177" s="27" t="inlineStr">
        <is>
          <t>Mobile E2E</t>
        </is>
      </c>
      <c r="C177" s="28" t="inlineStr">
        <is>
          <t>Push Notifications &amp; Deep Links</t>
        </is>
      </c>
      <c r="D177" s="26" t="inlineStr">
        <is>
          <t>P1 - High</t>
        </is>
      </c>
      <c r="E177" s="27" t="inlineStr">
        <is>
          <t>Functional</t>
        </is>
      </c>
      <c r="F177" s="28" t="inlineStr">
        <is>
          <t>Notification - Grouped Notification Channels (Android 8+)</t>
        </is>
      </c>
      <c r="G177" s="28" t="inlineStr">
        <is>
          <t>FCM / APNS notification channel configured</t>
        </is>
      </c>
      <c r="H177" s="28" t="inlineStr">
        <is>
          <t>1. Receive 5 food alert notifications. 2. Verify notification behavior.</t>
        </is>
      </c>
      <c r="I177" s="28" t="inlineStr">
        <is>
          <t>Notification Channel</t>
        </is>
      </c>
      <c r="J177" s="28" t="inlineStr">
        <is>
          <t>Notifications grouped neatly under 'Food Claims' channel</t>
        </is>
      </c>
      <c r="K177" s="28" t="inlineStr">
        <is>
          <t>As expected - Approved</t>
        </is>
      </c>
      <c r="L177" s="25" t="inlineStr">
        <is>
          <t>Pass</t>
        </is>
      </c>
      <c r="M177" s="27" t="inlineStr">
        <is>
          <t>Automated</t>
        </is>
      </c>
    </row>
    <row r="178">
      <c r="A178" s="22" t="inlineStr">
        <is>
          <t>TC_APP_177</t>
        </is>
      </c>
      <c r="B178" s="23" t="inlineStr">
        <is>
          <t>Mobile E2E</t>
        </is>
      </c>
      <c r="C178" s="24" t="inlineStr">
        <is>
          <t>Push Notifications &amp; Deep Links</t>
        </is>
      </c>
      <c r="D178" s="22" t="inlineStr">
        <is>
          <t>P1 - High</t>
        </is>
      </c>
      <c r="E178" s="23" t="inlineStr">
        <is>
          <t>Functional</t>
        </is>
      </c>
      <c r="F178" s="24" t="inlineStr">
        <is>
          <t>Notification - Notification Channel Settings Toggle</t>
        </is>
      </c>
      <c r="G178" s="24" t="inlineStr">
        <is>
          <t>FCM / APNS notification channel configured</t>
        </is>
      </c>
      <c r="H178" s="24" t="inlineStr">
        <is>
          <t>1. Disable 'Marketing' notification channel in Android settings. 2. Verify notification behavior.</t>
        </is>
      </c>
      <c r="I178" s="24" t="inlineStr">
        <is>
          <t>Settings toggle</t>
        </is>
      </c>
      <c r="J178" s="24" t="inlineStr">
        <is>
          <t>User stops receiving marketing pushes while retaining claim alerts</t>
        </is>
      </c>
      <c r="K178" s="24" t="inlineStr">
        <is>
          <t>As expected - Approved</t>
        </is>
      </c>
      <c r="L178" s="25" t="inlineStr">
        <is>
          <t>Pass</t>
        </is>
      </c>
      <c r="M178" s="23" t="inlineStr">
        <is>
          <t>Automated</t>
        </is>
      </c>
    </row>
    <row r="179">
      <c r="A179" s="26" t="inlineStr">
        <is>
          <t>TC_APP_178</t>
        </is>
      </c>
      <c r="B179" s="27" t="inlineStr">
        <is>
          <t>Mobile E2E</t>
        </is>
      </c>
      <c r="C179" s="28" t="inlineStr">
        <is>
          <t>Push Notifications &amp; Deep Links</t>
        </is>
      </c>
      <c r="D179" s="26" t="inlineStr">
        <is>
          <t>P1 - High</t>
        </is>
      </c>
      <c r="E179" s="27" t="inlineStr">
        <is>
          <t>Functional</t>
        </is>
      </c>
      <c r="F179" s="28" t="inlineStr">
        <is>
          <t>Notification - Silent Push Notification Data Update</t>
        </is>
      </c>
      <c r="G179" s="28" t="inlineStr">
        <is>
          <t>FCM / APNS notification channel configured</t>
        </is>
      </c>
      <c r="H179" s="28" t="inlineStr">
        <is>
          <t>1. Send background data sync push. 2. Verify notification behavior.</t>
        </is>
      </c>
      <c r="I179" s="28" t="inlineStr">
        <is>
          <t>Silent push payload</t>
        </is>
      </c>
      <c r="J179" s="28" t="inlineStr">
        <is>
          <t>App updates local offline food list in background silently</t>
        </is>
      </c>
      <c r="K179" s="28" t="inlineStr">
        <is>
          <t>As expected - Approved</t>
        </is>
      </c>
      <c r="L179" s="25" t="inlineStr">
        <is>
          <t>Pass</t>
        </is>
      </c>
      <c r="M179" s="27" t="inlineStr">
        <is>
          <t>Automated</t>
        </is>
      </c>
    </row>
    <row r="180">
      <c r="A180" s="22" t="inlineStr">
        <is>
          <t>TC_APP_179</t>
        </is>
      </c>
      <c r="B180" s="23" t="inlineStr">
        <is>
          <t>Mobile E2E</t>
        </is>
      </c>
      <c r="C180" s="24" t="inlineStr">
        <is>
          <t>Push Notifications &amp; Deep Links</t>
        </is>
      </c>
      <c r="D180" s="22" t="inlineStr">
        <is>
          <t>P1 - High</t>
        </is>
      </c>
      <c r="E180" s="23" t="inlineStr">
        <is>
          <t>Functional</t>
        </is>
      </c>
      <c r="F180" s="24" t="inlineStr">
        <is>
          <t>Notification - Push Notification Payload Data Security</t>
        </is>
      </c>
      <c r="G180" s="24" t="inlineStr">
        <is>
          <t>FCM / APNS notification channel configured</t>
        </is>
      </c>
      <c r="H180" s="24" t="inlineStr">
        <is>
          <t>1. Inspect push notification payload. 2. Verify notification behavior.</t>
        </is>
      </c>
      <c r="I180" s="24" t="inlineStr">
        <is>
          <t>Payload audit</t>
        </is>
      </c>
      <c r="J180" s="24" t="inlineStr">
        <is>
          <t>Payload contains no sensitive credentials or tokens</t>
        </is>
      </c>
      <c r="K180" s="24" t="inlineStr">
        <is>
          <t>As expected - Approved</t>
        </is>
      </c>
      <c r="L180" s="25" t="inlineStr">
        <is>
          <t>Pass</t>
        </is>
      </c>
      <c r="M180" s="23" t="inlineStr">
        <is>
          <t>Automated</t>
        </is>
      </c>
    </row>
    <row r="181">
      <c r="A181" s="26" t="inlineStr">
        <is>
          <t>TC_APP_180</t>
        </is>
      </c>
      <c r="B181" s="27" t="inlineStr">
        <is>
          <t>Mobile E2E</t>
        </is>
      </c>
      <c r="C181" s="28" t="inlineStr">
        <is>
          <t>Push Notifications &amp; Deep Links</t>
        </is>
      </c>
      <c r="D181" s="26" t="inlineStr">
        <is>
          <t>P1 - High</t>
        </is>
      </c>
      <c r="E181" s="27" t="inlineStr">
        <is>
          <t>Functional</t>
        </is>
      </c>
      <c r="F181" s="28" t="inlineStr">
        <is>
          <t>Notification - Deep Link URL Handler (sharebite://food/123)</t>
        </is>
      </c>
      <c r="G181" s="28" t="inlineStr">
        <is>
          <t>FCM / APNS notification channel configured</t>
        </is>
      </c>
      <c r="H181" s="28" t="inlineStr">
        <is>
          <t>1. Execute adb shell am start URI. 2. Verify notification behavior.</t>
        </is>
      </c>
      <c r="I181" s="28" t="inlineStr">
        <is>
          <t>Custom scheme URL</t>
        </is>
      </c>
      <c r="J181" s="28" t="inlineStr">
        <is>
          <t>App intercepts URI and opens Food Item #123 detail page</t>
        </is>
      </c>
      <c r="K181" s="28" t="inlineStr">
        <is>
          <t>As expected - Approved</t>
        </is>
      </c>
      <c r="L181" s="25" t="inlineStr">
        <is>
          <t>Pass</t>
        </is>
      </c>
      <c r="M181" s="27" t="inlineStr">
        <is>
          <t>Automated</t>
        </is>
      </c>
    </row>
    <row r="182">
      <c r="A182" s="22" t="inlineStr">
        <is>
          <t>TC_APP_181</t>
        </is>
      </c>
      <c r="B182" s="23" t="inlineStr">
        <is>
          <t>Mobile E2E</t>
        </is>
      </c>
      <c r="C182" s="24" t="inlineStr">
        <is>
          <t>Push Notifications &amp; Deep Links</t>
        </is>
      </c>
      <c r="D182" s="22" t="inlineStr">
        <is>
          <t>P2 - Medium</t>
        </is>
      </c>
      <c r="E182" s="23" t="inlineStr">
        <is>
          <t>Functional</t>
        </is>
      </c>
      <c r="F182" s="24" t="inlineStr">
        <is>
          <t>Notification - Universal Link Handler (https://sharebite.app/food/123)</t>
        </is>
      </c>
      <c r="G182" s="24" t="inlineStr">
        <is>
          <t>FCM / APNS notification channel configured</t>
        </is>
      </c>
      <c r="H182" s="24" t="inlineStr">
        <is>
          <t>1. Click link in SMS or Web browser. 2. Verify notification behavior.</t>
        </is>
      </c>
      <c r="I182" s="24" t="inlineStr">
        <is>
          <t>HTTP Universal Link</t>
        </is>
      </c>
      <c r="J182" s="24" t="inlineStr">
        <is>
          <t>Android OS opens link inside SHAREBITE app directly</t>
        </is>
      </c>
      <c r="K182" s="24" t="inlineStr">
        <is>
          <t>As expected - Approved</t>
        </is>
      </c>
      <c r="L182" s="25" t="inlineStr">
        <is>
          <t>Pass</t>
        </is>
      </c>
      <c r="M182" s="23" t="inlineStr">
        <is>
          <t>Automated</t>
        </is>
      </c>
    </row>
    <row r="183">
      <c r="A183" s="26" t="inlineStr">
        <is>
          <t>TC_APP_182</t>
        </is>
      </c>
      <c r="B183" s="27" t="inlineStr">
        <is>
          <t>Mobile E2E</t>
        </is>
      </c>
      <c r="C183" s="28" t="inlineStr">
        <is>
          <t>Push Notifications &amp; Deep Links</t>
        </is>
      </c>
      <c r="D183" s="26" t="inlineStr">
        <is>
          <t>P2 - Medium</t>
        </is>
      </c>
      <c r="E183" s="27" t="inlineStr">
        <is>
          <t>Functional</t>
        </is>
      </c>
      <c r="F183" s="28" t="inlineStr">
        <is>
          <t>Notification - Deep Link Unauthenticated Redirection</t>
        </is>
      </c>
      <c r="G183" s="28" t="inlineStr">
        <is>
          <t>FCM / APNS notification channel configured</t>
        </is>
      </c>
      <c r="H183" s="28" t="inlineStr">
        <is>
          <t>1. Click deep link when logged out. 2. Verify notification behavior.</t>
        </is>
      </c>
      <c r="I183" s="28" t="inlineStr">
        <is>
          <t>Unauthenticated deep link</t>
        </is>
      </c>
      <c r="J183" s="28" t="inlineStr">
        <is>
          <t>App stores target URL, prompts login, then navigates to target post-login</t>
        </is>
      </c>
      <c r="K183" s="28" t="inlineStr">
        <is>
          <t>As expected - Approved</t>
        </is>
      </c>
      <c r="L183" s="25" t="inlineStr">
        <is>
          <t>Pass</t>
        </is>
      </c>
      <c r="M183" s="27" t="inlineStr">
        <is>
          <t>Automated</t>
        </is>
      </c>
    </row>
    <row r="184">
      <c r="A184" s="22" t="inlineStr">
        <is>
          <t>TC_APP_183</t>
        </is>
      </c>
      <c r="B184" s="23" t="inlineStr">
        <is>
          <t>Mobile E2E</t>
        </is>
      </c>
      <c r="C184" s="24" t="inlineStr">
        <is>
          <t>Push Notifications &amp; Deep Links</t>
        </is>
      </c>
      <c r="D184" s="22" t="inlineStr">
        <is>
          <t>P2 - Medium</t>
        </is>
      </c>
      <c r="E184" s="23" t="inlineStr">
        <is>
          <t>Functional</t>
        </is>
      </c>
      <c r="F184" s="24" t="inlineStr">
        <is>
          <t>Notification - Expired Deep Link Handling</t>
        </is>
      </c>
      <c r="G184" s="24" t="inlineStr">
        <is>
          <t>FCM / APNS notification channel configured</t>
        </is>
      </c>
      <c r="H184" s="24" t="inlineStr">
        <is>
          <t>1. Click deep link to claimed/deleted food item. 2. Verify notification behavior.</t>
        </is>
      </c>
      <c r="I184" s="24" t="inlineStr">
        <is>
          <t>Invalid food ID link</t>
        </is>
      </c>
      <c r="J184" s="24" t="inlineStr">
        <is>
          <t>App displays notice 'This food item is no longer available'</t>
        </is>
      </c>
      <c r="K184" s="24" t="inlineStr">
        <is>
          <t>As expected - Approved</t>
        </is>
      </c>
      <c r="L184" s="25" t="inlineStr">
        <is>
          <t>Pass</t>
        </is>
      </c>
      <c r="M184" s="23" t="inlineStr">
        <is>
          <t>Manual</t>
        </is>
      </c>
    </row>
    <row r="185">
      <c r="A185" s="26" t="inlineStr">
        <is>
          <t>TC_APP_184</t>
        </is>
      </c>
      <c r="B185" s="27" t="inlineStr">
        <is>
          <t>Mobile E2E</t>
        </is>
      </c>
      <c r="C185" s="28" t="inlineStr">
        <is>
          <t>Push Notifications &amp; Deep Links</t>
        </is>
      </c>
      <c r="D185" s="26" t="inlineStr">
        <is>
          <t>P2 - Medium</t>
        </is>
      </c>
      <c r="E185" s="27" t="inlineStr">
        <is>
          <t>Functional</t>
        </is>
      </c>
      <c r="F185" s="28" t="inlineStr">
        <is>
          <t>Notification - Deep Link Query Parameter Parsing</t>
        </is>
      </c>
      <c r="G185" s="28" t="inlineStr">
        <is>
          <t>FCM / APNS notification channel configured</t>
        </is>
      </c>
      <c r="H185" s="28" t="inlineStr">
        <is>
          <t>1. Launch sharebite://search?q=Apples&amp;dist=5. 2. Verify notification behavior.</t>
        </is>
      </c>
      <c r="I185" s="28" t="inlineStr">
        <is>
          <t>URI with query parameters</t>
        </is>
      </c>
      <c r="J185" s="28" t="inlineStr">
        <is>
          <t>App opens Search view pre-filtered by 'Apples' under 5km</t>
        </is>
      </c>
      <c r="K185" s="28" t="inlineStr">
        <is>
          <t>As expected - Approved</t>
        </is>
      </c>
      <c r="L185" s="25" t="inlineStr">
        <is>
          <t>Pass</t>
        </is>
      </c>
      <c r="M185" s="27" t="inlineStr">
        <is>
          <t>Manual</t>
        </is>
      </c>
    </row>
    <row r="186">
      <c r="A186" s="22" t="inlineStr">
        <is>
          <t>TC_APP_185</t>
        </is>
      </c>
      <c r="B186" s="23" t="inlineStr">
        <is>
          <t>Mobile E2E</t>
        </is>
      </c>
      <c r="C186" s="24" t="inlineStr">
        <is>
          <t>Push Notifications &amp; Deep Links</t>
        </is>
      </c>
      <c r="D186" s="22" t="inlineStr">
        <is>
          <t>P2 - Medium</t>
        </is>
      </c>
      <c r="E186" s="23" t="inlineStr">
        <is>
          <t>Functional</t>
        </is>
      </c>
      <c r="F186" s="24" t="inlineStr">
        <is>
          <t>Notification - Notification Center Clear All Action</t>
        </is>
      </c>
      <c r="G186" s="24" t="inlineStr">
        <is>
          <t>FCM / APNS notification channel configured</t>
        </is>
      </c>
      <c r="H186" s="24" t="inlineStr">
        <is>
          <t>1. Tap 'Clear All' in notification center. 2. Verify notification behavior.</t>
        </is>
      </c>
      <c r="I186" s="24" t="inlineStr">
        <is>
          <t>Clear notifications</t>
        </is>
      </c>
      <c r="J186" s="24" t="inlineStr">
        <is>
          <t>Clears all ShareBite notifications from notification shade</t>
        </is>
      </c>
      <c r="K186" s="24" t="inlineStr">
        <is>
          <t>As expected - Approved</t>
        </is>
      </c>
      <c r="L186" s="25" t="inlineStr">
        <is>
          <t>Pass</t>
        </is>
      </c>
      <c r="M186" s="23" t="inlineStr">
        <is>
          <t>Manual</t>
        </is>
      </c>
    </row>
    <row r="187">
      <c r="A187" s="26" t="inlineStr">
        <is>
          <t>TC_APP_186</t>
        </is>
      </c>
      <c r="B187" s="27" t="inlineStr">
        <is>
          <t>Mobile E2E</t>
        </is>
      </c>
      <c r="C187" s="28" t="inlineStr">
        <is>
          <t>Push Notifications &amp; Deep Links</t>
        </is>
      </c>
      <c r="D187" s="26" t="inlineStr">
        <is>
          <t>P2 - Medium</t>
        </is>
      </c>
      <c r="E187" s="27" t="inlineStr">
        <is>
          <t>Functional</t>
        </is>
      </c>
      <c r="F187" s="28" t="inlineStr">
        <is>
          <t>Notification - Notification Re-delivery after Network Reconnect</t>
        </is>
      </c>
      <c r="G187" s="28" t="inlineStr">
        <is>
          <t>FCM / APNS notification channel configured</t>
        </is>
      </c>
      <c r="H187" s="28" t="inlineStr">
        <is>
          <t>1. Send push while device offline. 2. Verify notification behavior.</t>
        </is>
      </c>
      <c r="I187" s="28" t="inlineStr">
        <is>
          <t>Offline push dispatch</t>
        </is>
      </c>
      <c r="J187" s="28" t="inlineStr">
        <is>
          <t>Notification delivered immediately once device connects to WiFi</t>
        </is>
      </c>
      <c r="K187" s="28" t="inlineStr">
        <is>
          <t>As expected - Approved</t>
        </is>
      </c>
      <c r="L187" s="25" t="inlineStr">
        <is>
          <t>Pass</t>
        </is>
      </c>
      <c r="M187" s="27" t="inlineStr">
        <is>
          <t>Manual</t>
        </is>
      </c>
    </row>
    <row r="188">
      <c r="A188" s="22" t="inlineStr">
        <is>
          <t>TC_APP_187</t>
        </is>
      </c>
      <c r="B188" s="23" t="inlineStr">
        <is>
          <t>Mobile E2E</t>
        </is>
      </c>
      <c r="C188" s="24" t="inlineStr">
        <is>
          <t>Push Notifications &amp; Deep Links</t>
        </is>
      </c>
      <c r="D188" s="22" t="inlineStr">
        <is>
          <t>P2 - Medium</t>
        </is>
      </c>
      <c r="E188" s="23" t="inlineStr">
        <is>
          <t>Functional</t>
        </is>
      </c>
      <c r="F188" s="24" t="inlineStr">
        <is>
          <t>Notification - Notification Lock Screen Privacy Setting</t>
        </is>
      </c>
      <c r="G188" s="24" t="inlineStr">
        <is>
          <t>FCM / APNS notification channel configured</t>
        </is>
      </c>
      <c r="H188" s="24" t="inlineStr">
        <is>
          <t>1. View notification on locked device screen. 2. Verify notification behavior.</t>
        </is>
      </c>
      <c r="I188" s="24" t="inlineStr">
        <is>
          <t>Lock screen notification</t>
        </is>
      </c>
      <c r="J188" s="24" t="inlineStr">
        <is>
          <t>Sensitive details hidden on lock screen per OS privacy setting</t>
        </is>
      </c>
      <c r="K188" s="24" t="inlineStr">
        <is>
          <t>As expected - Approved</t>
        </is>
      </c>
      <c r="L188" s="25" t="inlineStr">
        <is>
          <t>Pass</t>
        </is>
      </c>
      <c r="M188" s="23" t="inlineStr">
        <is>
          <t>Manual</t>
        </is>
      </c>
    </row>
    <row r="189">
      <c r="A189" s="26" t="inlineStr">
        <is>
          <t>TC_APP_188</t>
        </is>
      </c>
      <c r="B189" s="27" t="inlineStr">
        <is>
          <t>Mobile E2E</t>
        </is>
      </c>
      <c r="C189" s="28" t="inlineStr">
        <is>
          <t>Push Notifications &amp; Deep Links</t>
        </is>
      </c>
      <c r="D189" s="26" t="inlineStr">
        <is>
          <t>P2 - Medium</t>
        </is>
      </c>
      <c r="E189" s="27" t="inlineStr">
        <is>
          <t>Functional</t>
        </is>
      </c>
      <c r="F189" s="28" t="inlineStr">
        <is>
          <t>Notification - App Icon Badge Counter Clearance</t>
        </is>
      </c>
      <c r="G189" s="28" t="inlineStr">
        <is>
          <t>FCM / APNS notification channel configured</t>
        </is>
      </c>
      <c r="H189" s="28" t="inlineStr">
        <is>
          <t>1. Open in-app notification center. 2. Verify notification behavior.</t>
        </is>
      </c>
      <c r="I189" s="28" t="inlineStr">
        <is>
          <t>Notification view</t>
        </is>
      </c>
      <c r="J189" s="28" t="inlineStr">
        <is>
          <t>Launcher badge count clears to 0 upon viewing alerts</t>
        </is>
      </c>
      <c r="K189" s="28" t="inlineStr">
        <is>
          <t>As expected - Approved</t>
        </is>
      </c>
      <c r="L189" s="25" t="inlineStr">
        <is>
          <t>Pass</t>
        </is>
      </c>
      <c r="M189" s="27" t="inlineStr">
        <is>
          <t>Manual</t>
        </is>
      </c>
    </row>
    <row r="190">
      <c r="A190" s="22" t="inlineStr">
        <is>
          <t>TC_APP_189</t>
        </is>
      </c>
      <c r="B190" s="23" t="inlineStr">
        <is>
          <t>Mobile E2E</t>
        </is>
      </c>
      <c r="C190" s="24" t="inlineStr">
        <is>
          <t>Push Notifications &amp; Deep Links</t>
        </is>
      </c>
      <c r="D190" s="22" t="inlineStr">
        <is>
          <t>P2 - Medium</t>
        </is>
      </c>
      <c r="E190" s="23" t="inlineStr">
        <is>
          <t>Functional</t>
        </is>
      </c>
      <c r="F190" s="24" t="inlineStr">
        <is>
          <t>Notification - Rich Push Notification Image Render</t>
        </is>
      </c>
      <c r="G190" s="24" t="inlineStr">
        <is>
          <t>FCM / APNS notification channel configured</t>
        </is>
      </c>
      <c r="H190" s="24" t="inlineStr">
        <is>
          <t>1. Send push with food image URL. 2. Verify notification behavior.</t>
        </is>
      </c>
      <c r="I190" s="24" t="inlineStr">
        <is>
          <t>Rich push payload</t>
        </is>
      </c>
      <c r="J190" s="24" t="inlineStr">
        <is>
          <t>Notification preview expands to show rich food image thumbnail</t>
        </is>
      </c>
      <c r="K190" s="24" t="inlineStr">
        <is>
          <t>As expected - Approved</t>
        </is>
      </c>
      <c r="L190" s="25" t="inlineStr">
        <is>
          <t>Pass</t>
        </is>
      </c>
      <c r="M190" s="23" t="inlineStr">
        <is>
          <t>Manual</t>
        </is>
      </c>
    </row>
    <row r="191">
      <c r="A191" s="26" t="inlineStr">
        <is>
          <t>TC_APP_190</t>
        </is>
      </c>
      <c r="B191" s="27" t="inlineStr">
        <is>
          <t>Mobile E2E</t>
        </is>
      </c>
      <c r="C191" s="28" t="inlineStr">
        <is>
          <t>Push Notifications &amp; Deep Links</t>
        </is>
      </c>
      <c r="D191" s="26" t="inlineStr">
        <is>
          <t>P2 - Medium</t>
        </is>
      </c>
      <c r="E191" s="27" t="inlineStr">
        <is>
          <t>Functional</t>
        </is>
      </c>
      <c r="F191" s="28" t="inlineStr">
        <is>
          <t>Notification - Push Notification Opt-Out Verification</t>
        </is>
      </c>
      <c r="G191" s="28" t="inlineStr">
        <is>
          <t>FCM / APNS notification channel configured</t>
        </is>
      </c>
      <c r="H191" s="28" t="inlineStr">
        <is>
          <t>1. Turn off notifications in SHAREBITE profile settings. 2. Verify notification behavior.</t>
        </is>
      </c>
      <c r="I191" s="28" t="inlineStr">
        <is>
          <t>App profile toggle</t>
        </is>
      </c>
      <c r="J191" s="28" t="inlineStr">
        <is>
          <t>Server stops sending push notifications to device FCM token</t>
        </is>
      </c>
      <c r="K191" s="28" t="inlineStr">
        <is>
          <t>As expected - Approved</t>
        </is>
      </c>
      <c r="L191" s="25" t="inlineStr">
        <is>
          <t>Pass</t>
        </is>
      </c>
      <c r="M191" s="27" t="inlineStr">
        <is>
          <t>Manual</t>
        </is>
      </c>
    </row>
    <row r="192">
      <c r="A192" s="22" t="inlineStr">
        <is>
          <t>TC_APP_191</t>
        </is>
      </c>
      <c r="B192" s="23" t="inlineStr">
        <is>
          <t>Mobile E2E</t>
        </is>
      </c>
      <c r="C192" s="24" t="inlineStr">
        <is>
          <t>Screen Orientation &amp; Responsive UI</t>
        </is>
      </c>
      <c r="D192" s="22" t="inlineStr">
        <is>
          <t>P1 - High</t>
        </is>
      </c>
      <c r="E192" s="23" t="inlineStr">
        <is>
          <t>Compatibility</t>
        </is>
      </c>
      <c r="F192" s="24" t="inlineStr">
        <is>
          <t>Orientation - Default Portrait Orientation Mode</t>
        </is>
      </c>
      <c r="G192" s="24" t="inlineStr">
        <is>
          <t>Device orientation sensors active</t>
        </is>
      </c>
      <c r="H192" s="24" t="inlineStr">
        <is>
          <t>1. Launch app in upright portrait position. 2. Inspect UI responsive layout.</t>
        </is>
      </c>
      <c r="I192" s="24" t="inlineStr">
        <is>
          <t>Portrait mode (1080x2400)</t>
        </is>
      </c>
      <c r="J192" s="24" t="inlineStr">
        <is>
          <t>App fills screen vertically with bottom navigation bar</t>
        </is>
      </c>
      <c r="K192" s="24" t="inlineStr">
        <is>
          <t>As expected - Approved</t>
        </is>
      </c>
      <c r="L192" s="25" t="inlineStr">
        <is>
          <t>Pass</t>
        </is>
      </c>
      <c r="M192" s="23" t="inlineStr">
        <is>
          <t>Automated</t>
        </is>
      </c>
    </row>
    <row r="193">
      <c r="A193" s="26" t="inlineStr">
        <is>
          <t>TC_APP_192</t>
        </is>
      </c>
      <c r="B193" s="27" t="inlineStr">
        <is>
          <t>Mobile E2E</t>
        </is>
      </c>
      <c r="C193" s="28" t="inlineStr">
        <is>
          <t>Screen Orientation &amp; Responsive UI</t>
        </is>
      </c>
      <c r="D193" s="26" t="inlineStr">
        <is>
          <t>P1 - High</t>
        </is>
      </c>
      <c r="E193" s="27" t="inlineStr">
        <is>
          <t>UI/UX</t>
        </is>
      </c>
      <c r="F193" s="28" t="inlineStr">
        <is>
          <t>Orientation - Rotate to Landscape Left (90 deg)</t>
        </is>
      </c>
      <c r="G193" s="28" t="inlineStr">
        <is>
          <t>Device orientation sensors active</t>
        </is>
      </c>
      <c r="H193" s="28" t="inlineStr">
        <is>
          <t>1. Rotate device 90 degrees counter-clockwise. 2. Inspect UI responsive layout.</t>
        </is>
      </c>
      <c r="I193" s="28" t="inlineStr">
        <is>
          <t>Landscape Left</t>
        </is>
      </c>
      <c r="J193" s="28" t="inlineStr">
        <is>
          <t>Layout reflows to side-by-side split screen view</t>
        </is>
      </c>
      <c r="K193" s="28" t="inlineStr">
        <is>
          <t>As expected - Approved</t>
        </is>
      </c>
      <c r="L193" s="25" t="inlineStr">
        <is>
          <t>Pass</t>
        </is>
      </c>
      <c r="M193" s="27" t="inlineStr">
        <is>
          <t>Automated</t>
        </is>
      </c>
    </row>
    <row r="194">
      <c r="A194" s="22" t="inlineStr">
        <is>
          <t>TC_APP_193</t>
        </is>
      </c>
      <c r="B194" s="23" t="inlineStr">
        <is>
          <t>Mobile E2E</t>
        </is>
      </c>
      <c r="C194" s="24" t="inlineStr">
        <is>
          <t>Screen Orientation &amp; Responsive UI</t>
        </is>
      </c>
      <c r="D194" s="22" t="inlineStr">
        <is>
          <t>P1 - High</t>
        </is>
      </c>
      <c r="E194" s="23" t="inlineStr">
        <is>
          <t>UI/UX</t>
        </is>
      </c>
      <c r="F194" s="24" t="inlineStr">
        <is>
          <t>Orientation - Rotate to Landscape Right (270 deg)</t>
        </is>
      </c>
      <c r="G194" s="24" t="inlineStr">
        <is>
          <t>Device orientation sensors active</t>
        </is>
      </c>
      <c r="H194" s="24" t="inlineStr">
        <is>
          <t>1. Rotate device 270 degrees clockwise. 2. Inspect UI responsive layout.</t>
        </is>
      </c>
      <c r="I194" s="24" t="inlineStr">
        <is>
          <t>Landscape Right</t>
        </is>
      </c>
      <c r="J194" s="24" t="inlineStr">
        <is>
          <t>Layout adapts cleanly maintaining side-by-side alignment</t>
        </is>
      </c>
      <c r="K194" s="24" t="inlineStr">
        <is>
          <t>As expected - Approved</t>
        </is>
      </c>
      <c r="L194" s="25" t="inlineStr">
        <is>
          <t>Pass</t>
        </is>
      </c>
      <c r="M194" s="23" t="inlineStr">
        <is>
          <t>Automated</t>
        </is>
      </c>
    </row>
    <row r="195">
      <c r="A195" s="26" t="inlineStr">
        <is>
          <t>TC_APP_194</t>
        </is>
      </c>
      <c r="B195" s="27" t="inlineStr">
        <is>
          <t>Mobile E2E</t>
        </is>
      </c>
      <c r="C195" s="28" t="inlineStr">
        <is>
          <t>Screen Orientation &amp; Responsive UI</t>
        </is>
      </c>
      <c r="D195" s="26" t="inlineStr">
        <is>
          <t>P1 - High</t>
        </is>
      </c>
      <c r="E195" s="27" t="inlineStr">
        <is>
          <t>UI/UX</t>
        </is>
      </c>
      <c r="F195" s="28" t="inlineStr">
        <is>
          <t>Orientation - Rotate Reverse Portrait (180 deg)</t>
        </is>
      </c>
      <c r="G195" s="28" t="inlineStr">
        <is>
          <t>Device orientation sensors active</t>
        </is>
      </c>
      <c r="H195" s="28" t="inlineStr">
        <is>
          <t>1. Rotate device upside down. 2. Inspect UI responsive layout.</t>
        </is>
      </c>
      <c r="I195" s="28" t="inlineStr">
        <is>
          <t>Reverse Portrait</t>
        </is>
      </c>
      <c r="J195" s="28" t="inlineStr">
        <is>
          <t>App handles orientation or locks to upright portrait smoothly</t>
        </is>
      </c>
      <c r="K195" s="28" t="inlineStr">
        <is>
          <t>As expected - Approved</t>
        </is>
      </c>
      <c r="L195" s="25" t="inlineStr">
        <is>
          <t>Pass</t>
        </is>
      </c>
      <c r="M195" s="27" t="inlineStr">
        <is>
          <t>Automated</t>
        </is>
      </c>
    </row>
    <row r="196">
      <c r="A196" s="22" t="inlineStr">
        <is>
          <t>TC_APP_195</t>
        </is>
      </c>
      <c r="B196" s="23" t="inlineStr">
        <is>
          <t>Mobile E2E</t>
        </is>
      </c>
      <c r="C196" s="24" t="inlineStr">
        <is>
          <t>Screen Orientation &amp; Responsive UI</t>
        </is>
      </c>
      <c r="D196" s="22" t="inlineStr">
        <is>
          <t>P1 - High</t>
        </is>
      </c>
      <c r="E196" s="23" t="inlineStr">
        <is>
          <t>Compatibility</t>
        </is>
      </c>
      <c r="F196" s="24" t="inlineStr">
        <is>
          <t>Orientation - Form Field State Preservation on Rotation</t>
        </is>
      </c>
      <c r="G196" s="24" t="inlineStr">
        <is>
          <t>Device orientation sensors active</t>
        </is>
      </c>
      <c r="H196" s="24" t="inlineStr">
        <is>
          <t>1. Type text in form, rotate to landscape. 2. Inspect UI responsive layout.</t>
        </is>
      </c>
      <c r="I196" s="24" t="inlineStr">
        <is>
          <t>Form input text</t>
        </is>
      </c>
      <c r="J196" s="24" t="inlineStr">
        <is>
          <t>Typed text and cursor position preserved post rotation</t>
        </is>
      </c>
      <c r="K196" s="24" t="inlineStr">
        <is>
          <t>As expected - Approved</t>
        </is>
      </c>
      <c r="L196" s="25" t="inlineStr">
        <is>
          <t>Pass</t>
        </is>
      </c>
      <c r="M196" s="23" t="inlineStr">
        <is>
          <t>Automated</t>
        </is>
      </c>
    </row>
    <row r="197">
      <c r="A197" s="26" t="inlineStr">
        <is>
          <t>TC_APP_196</t>
        </is>
      </c>
      <c r="B197" s="27" t="inlineStr">
        <is>
          <t>Mobile E2E</t>
        </is>
      </c>
      <c r="C197" s="28" t="inlineStr">
        <is>
          <t>Screen Orientation &amp; Responsive UI</t>
        </is>
      </c>
      <c r="D197" s="26" t="inlineStr">
        <is>
          <t>P1 - High</t>
        </is>
      </c>
      <c r="E197" s="27" t="inlineStr">
        <is>
          <t>Compatibility</t>
        </is>
      </c>
      <c r="F197" s="28" t="inlineStr">
        <is>
          <t>Orientation - Modal Dialog Scaling on Rotation</t>
        </is>
      </c>
      <c r="G197" s="28" t="inlineStr">
        <is>
          <t>Device orientation sensors active</t>
        </is>
      </c>
      <c r="H197" s="28" t="inlineStr">
        <is>
          <t>1. Open food claim modal and rotate to landscape. 2. Inspect UI responsive layout.</t>
        </is>
      </c>
      <c r="I197" s="28" t="inlineStr">
        <is>
          <t>Modal view</t>
        </is>
      </c>
      <c r="J197" s="28" t="inlineStr">
        <is>
          <t>Modal resizes with scrollbar to fit reduced vertical height</t>
        </is>
      </c>
      <c r="K197" s="28" t="inlineStr">
        <is>
          <t>As expected - Approved</t>
        </is>
      </c>
      <c r="L197" s="25" t="inlineStr">
        <is>
          <t>Pass</t>
        </is>
      </c>
      <c r="M197" s="27" t="inlineStr">
        <is>
          <t>Automated</t>
        </is>
      </c>
    </row>
    <row r="198">
      <c r="A198" s="22" t="inlineStr">
        <is>
          <t>TC_APP_197</t>
        </is>
      </c>
      <c r="B198" s="23" t="inlineStr">
        <is>
          <t>Mobile E2E</t>
        </is>
      </c>
      <c r="C198" s="24" t="inlineStr">
        <is>
          <t>Screen Orientation &amp; Responsive UI</t>
        </is>
      </c>
      <c r="D198" s="22" t="inlineStr">
        <is>
          <t>P1 - High</t>
        </is>
      </c>
      <c r="E198" s="23" t="inlineStr">
        <is>
          <t>Compatibility</t>
        </is>
      </c>
      <c r="F198" s="24" t="inlineStr">
        <is>
          <t>Orientation - Video Preview Rotation Handling</t>
        </is>
      </c>
      <c r="G198" s="24" t="inlineStr">
        <is>
          <t>Device orientation sensors active</t>
        </is>
      </c>
      <c r="H198" s="24" t="inlineStr">
        <is>
          <t>1. Play food preparation video, rotate device. 2. Inspect UI responsive layout.</t>
        </is>
      </c>
      <c r="I198" s="24" t="inlineStr">
        <is>
          <t>Video player</t>
        </is>
      </c>
      <c r="J198" s="24" t="inlineStr">
        <is>
          <t>Video expands to full-screen landscape view automatically</t>
        </is>
      </c>
      <c r="K198" s="24" t="inlineStr">
        <is>
          <t>As expected - Approved</t>
        </is>
      </c>
      <c r="L198" s="25" t="inlineStr">
        <is>
          <t>Pass</t>
        </is>
      </c>
      <c r="M198" s="23" t="inlineStr">
        <is>
          <t>Automated</t>
        </is>
      </c>
    </row>
    <row r="199">
      <c r="A199" s="26" t="inlineStr">
        <is>
          <t>TC_APP_198</t>
        </is>
      </c>
      <c r="B199" s="27" t="inlineStr">
        <is>
          <t>Mobile E2E</t>
        </is>
      </c>
      <c r="C199" s="28" t="inlineStr">
        <is>
          <t>Screen Orientation &amp; Responsive UI</t>
        </is>
      </c>
      <c r="D199" s="26" t="inlineStr">
        <is>
          <t>P1 - High</t>
        </is>
      </c>
      <c r="E199" s="27" t="inlineStr">
        <is>
          <t>Compatibility</t>
        </is>
      </c>
      <c r="F199" s="28" t="inlineStr">
        <is>
          <t>Orientation - Camera Preview Aspect Ratio on Rotation</t>
        </is>
      </c>
      <c r="G199" s="28" t="inlineStr">
        <is>
          <t>Device orientation sensors active</t>
        </is>
      </c>
      <c r="H199" s="28" t="inlineStr">
        <is>
          <t>1. Open camera view and rotate screen. 2. Inspect UI responsive layout.</t>
        </is>
      </c>
      <c r="I199" s="28" t="inlineStr">
        <is>
          <t>Camera preview</t>
        </is>
      </c>
      <c r="J199" s="28" t="inlineStr">
        <is>
          <t>Camera viewfinder maintains correct aspect ratio without distortion</t>
        </is>
      </c>
      <c r="K199" s="28" t="inlineStr">
        <is>
          <t>As expected - Approved</t>
        </is>
      </c>
      <c r="L199" s="25" t="inlineStr">
        <is>
          <t>Pass</t>
        </is>
      </c>
      <c r="M199" s="27" t="inlineStr">
        <is>
          <t>Automated</t>
        </is>
      </c>
    </row>
    <row r="200">
      <c r="A200" s="22" t="inlineStr">
        <is>
          <t>TC_APP_199</t>
        </is>
      </c>
      <c r="B200" s="23" t="inlineStr">
        <is>
          <t>Mobile E2E</t>
        </is>
      </c>
      <c r="C200" s="24" t="inlineStr">
        <is>
          <t>Screen Orientation &amp; Responsive UI</t>
        </is>
      </c>
      <c r="D200" s="22" t="inlineStr">
        <is>
          <t>P1 - High</t>
        </is>
      </c>
      <c r="E200" s="23" t="inlineStr">
        <is>
          <t>Compatibility</t>
        </is>
      </c>
      <c r="F200" s="24" t="inlineStr">
        <is>
          <t>Orientation - Device Notch / Display Cutout Insets</t>
        </is>
      </c>
      <c r="G200" s="24" t="inlineStr">
        <is>
          <t>Device orientation sensors active</t>
        </is>
      </c>
      <c r="H200" s="24" t="inlineStr">
        <is>
          <t>1. Test on device with camera punch hole / notch. 2. Inspect UI responsive layout.</t>
        </is>
      </c>
      <c r="I200" s="24" t="inlineStr">
        <is>
          <t>Display Cutout API</t>
        </is>
      </c>
      <c r="J200" s="24" t="inlineStr">
        <is>
          <t>UI elements clear camera notch area cleanly</t>
        </is>
      </c>
      <c r="K200" s="24" t="inlineStr">
        <is>
          <t>As expected - Approved</t>
        </is>
      </c>
      <c r="L200" s="25" t="inlineStr">
        <is>
          <t>Pass</t>
        </is>
      </c>
      <c r="M200" s="23" t="inlineStr">
        <is>
          <t>Automated</t>
        </is>
      </c>
    </row>
    <row r="201">
      <c r="A201" s="26" t="inlineStr">
        <is>
          <t>TC_APP_200</t>
        </is>
      </c>
      <c r="B201" s="27" t="inlineStr">
        <is>
          <t>Mobile E2E</t>
        </is>
      </c>
      <c r="C201" s="28" t="inlineStr">
        <is>
          <t>Screen Orientation &amp; Responsive UI</t>
        </is>
      </c>
      <c r="D201" s="26" t="inlineStr">
        <is>
          <t>P1 - High</t>
        </is>
      </c>
      <c r="E201" s="27" t="inlineStr">
        <is>
          <t>Compatibility</t>
        </is>
      </c>
      <c r="F201" s="28" t="inlineStr">
        <is>
          <t>Orientation - Dynamic Island Integration (iOS)</t>
        </is>
      </c>
      <c r="G201" s="28" t="inlineStr">
        <is>
          <t>Device orientation sensors active</t>
        </is>
      </c>
      <c r="H201" s="28" t="inlineStr">
        <is>
          <t>1. Test on iPhone 14/15 Pro Dynamic Island. 2. Inspect UI responsive layout.</t>
        </is>
      </c>
      <c r="I201" s="28" t="inlineStr">
        <is>
          <t>Dynamic Island API</t>
        </is>
      </c>
      <c r="J201" s="28" t="inlineStr">
        <is>
          <t>Active food claim status displays in Dynamic Island pill</t>
        </is>
      </c>
      <c r="K201" s="28" t="inlineStr">
        <is>
          <t>As expected - Approved</t>
        </is>
      </c>
      <c r="L201" s="25" t="inlineStr">
        <is>
          <t>Pass</t>
        </is>
      </c>
      <c r="M201" s="27" t="inlineStr">
        <is>
          <t>Automated</t>
        </is>
      </c>
    </row>
    <row r="202">
      <c r="A202" s="22" t="inlineStr">
        <is>
          <t>TC_APP_201</t>
        </is>
      </c>
      <c r="B202" s="23" t="inlineStr">
        <is>
          <t>Mobile E2E</t>
        </is>
      </c>
      <c r="C202" s="24" t="inlineStr">
        <is>
          <t>Screen Orientation &amp; Responsive UI</t>
        </is>
      </c>
      <c r="D202" s="22" t="inlineStr">
        <is>
          <t>P1 - High</t>
        </is>
      </c>
      <c r="E202" s="23" t="inlineStr">
        <is>
          <t>Compatibility</t>
        </is>
      </c>
      <c r="F202" s="24" t="inlineStr">
        <is>
          <t>Orientation - Foldable Device Screen Unfold (Galaxy Z Fold)</t>
        </is>
      </c>
      <c r="G202" s="24" t="inlineStr">
        <is>
          <t>Device orientation sensors active</t>
        </is>
      </c>
      <c r="H202" s="24" t="inlineStr">
        <is>
          <t>1. Unfold foldable phone to main 7.6 inch screen. 2. Inspect UI responsive layout.</t>
        </is>
      </c>
      <c r="I202" s="24" t="inlineStr">
        <is>
          <t>Screen unfold event</t>
        </is>
      </c>
      <c r="J202" s="24" t="inlineStr">
        <is>
          <t>App transitions seamlessly from cover screen to tablet layout</t>
        </is>
      </c>
      <c r="K202" s="24" t="inlineStr">
        <is>
          <t>As expected - Approved</t>
        </is>
      </c>
      <c r="L202" s="25" t="inlineStr">
        <is>
          <t>Pass</t>
        </is>
      </c>
      <c r="M202" s="23" t="inlineStr">
        <is>
          <t>Automated</t>
        </is>
      </c>
    </row>
    <row r="203">
      <c r="A203" s="26" t="inlineStr">
        <is>
          <t>TC_APP_202</t>
        </is>
      </c>
      <c r="B203" s="27" t="inlineStr">
        <is>
          <t>Mobile E2E</t>
        </is>
      </c>
      <c r="C203" s="28" t="inlineStr">
        <is>
          <t>Screen Orientation &amp; Responsive UI</t>
        </is>
      </c>
      <c r="D203" s="26" t="inlineStr">
        <is>
          <t>P1 - High</t>
        </is>
      </c>
      <c r="E203" s="27" t="inlineStr">
        <is>
          <t>Compatibility</t>
        </is>
      </c>
      <c r="F203" s="28" t="inlineStr">
        <is>
          <t>Orientation - Foldable Device Screen Fold (Galaxy Z Fold)</t>
        </is>
      </c>
      <c r="G203" s="28" t="inlineStr">
        <is>
          <t>Device orientation sensors active</t>
        </is>
      </c>
      <c r="H203" s="28" t="inlineStr">
        <is>
          <t>1. Fold device back to cover screen. 2. Inspect UI responsive layout.</t>
        </is>
      </c>
      <c r="I203" s="28" t="inlineStr">
        <is>
          <t>Screen fold event</t>
        </is>
      </c>
      <c r="J203" s="28" t="inlineStr">
        <is>
          <t>App layout scales down seamlessly to single column layout</t>
        </is>
      </c>
      <c r="K203" s="28" t="inlineStr">
        <is>
          <t>As expected - Approved</t>
        </is>
      </c>
      <c r="L203" s="25" t="inlineStr">
        <is>
          <t>Pass</t>
        </is>
      </c>
      <c r="M203" s="27" t="inlineStr">
        <is>
          <t>Automated</t>
        </is>
      </c>
    </row>
    <row r="204">
      <c r="A204" s="22" t="inlineStr">
        <is>
          <t>TC_APP_203</t>
        </is>
      </c>
      <c r="B204" s="23" t="inlineStr">
        <is>
          <t>Mobile E2E</t>
        </is>
      </c>
      <c r="C204" s="24" t="inlineStr">
        <is>
          <t>Screen Orientation &amp; Responsive UI</t>
        </is>
      </c>
      <c r="D204" s="22" t="inlineStr">
        <is>
          <t>P1 - High</t>
        </is>
      </c>
      <c r="E204" s="23" t="inlineStr">
        <is>
          <t>Compatibility</t>
        </is>
      </c>
      <c r="F204" s="24" t="inlineStr">
        <is>
          <t>Orientation - Flex Mode Dual Screen Angle (Galaxy Z Flip)</t>
        </is>
      </c>
      <c r="G204" s="24" t="inlineStr">
        <is>
          <t>Device orientation sensors active</t>
        </is>
      </c>
      <c r="H204" s="24" t="inlineStr">
        <is>
          <t>1. Bend flip phone at 90 degree angle. 2. Inspect UI responsive layout.</t>
        </is>
      </c>
      <c r="I204" s="24" t="inlineStr">
        <is>
          <t>Flex Mode sensor</t>
        </is>
      </c>
      <c r="J204" s="24" t="inlineStr">
        <is>
          <t>Top half shows food image, bottom half shows control buttons</t>
        </is>
      </c>
      <c r="K204" s="24" t="inlineStr">
        <is>
          <t>As expected - Approved</t>
        </is>
      </c>
      <c r="L204" s="25" t="inlineStr">
        <is>
          <t>Pass</t>
        </is>
      </c>
      <c r="M204" s="23" t="inlineStr">
        <is>
          <t>Automated</t>
        </is>
      </c>
    </row>
    <row r="205">
      <c r="A205" s="26" t="inlineStr">
        <is>
          <t>TC_APP_204</t>
        </is>
      </c>
      <c r="B205" s="27" t="inlineStr">
        <is>
          <t>Mobile E2E</t>
        </is>
      </c>
      <c r="C205" s="28" t="inlineStr">
        <is>
          <t>Screen Orientation &amp; Responsive UI</t>
        </is>
      </c>
      <c r="D205" s="26" t="inlineStr">
        <is>
          <t>P1 - High</t>
        </is>
      </c>
      <c r="E205" s="27" t="inlineStr">
        <is>
          <t>Compatibility</t>
        </is>
      </c>
      <c r="F205" s="28" t="inlineStr">
        <is>
          <t>Orientation - Android Multi-Window Resizing</t>
        </is>
      </c>
      <c r="G205" s="28" t="inlineStr">
        <is>
          <t>Device orientation sensors active</t>
        </is>
      </c>
      <c r="H205" s="28" t="inlineStr">
        <is>
          <t>1. Drag multi-window divider to resize app. 2. Inspect UI responsive layout.</t>
        </is>
      </c>
      <c r="I205" s="28" t="inlineStr">
        <is>
          <t>Window resize event</t>
        </is>
      </c>
      <c r="J205" s="28" t="inlineStr">
        <is>
          <t>App layout updates dynamically at 30fps during resize</t>
        </is>
      </c>
      <c r="K205" s="28" t="inlineStr">
        <is>
          <t>As expected - Approved</t>
        </is>
      </c>
      <c r="L205" s="25" t="inlineStr">
        <is>
          <t>Pass</t>
        </is>
      </c>
      <c r="M205" s="27" t="inlineStr">
        <is>
          <t>Automated</t>
        </is>
      </c>
    </row>
    <row r="206">
      <c r="A206" s="22" t="inlineStr">
        <is>
          <t>TC_APP_205</t>
        </is>
      </c>
      <c r="B206" s="23" t="inlineStr">
        <is>
          <t>Mobile E2E</t>
        </is>
      </c>
      <c r="C206" s="24" t="inlineStr">
        <is>
          <t>Screen Orientation &amp; Responsive UI</t>
        </is>
      </c>
      <c r="D206" s="22" t="inlineStr">
        <is>
          <t>P1 - High</t>
        </is>
      </c>
      <c r="E206" s="23" t="inlineStr">
        <is>
          <t>Compatibility</t>
        </is>
      </c>
      <c r="F206" s="24" t="inlineStr">
        <is>
          <t>Orientation - Small Phone Screen (4.7 inch) Font Scaling</t>
        </is>
      </c>
      <c r="G206" s="24" t="inlineStr">
        <is>
          <t>Device orientation sensors active</t>
        </is>
      </c>
      <c r="H206" s="24" t="inlineStr">
        <is>
          <t>1. Test on iPhone SE / small Android phone. 2. Inspect UI responsive layout.</t>
        </is>
      </c>
      <c r="I206" s="24" t="inlineStr">
        <is>
          <t>Small screen width</t>
        </is>
      </c>
      <c r="J206" s="24" t="inlineStr">
        <is>
          <t>Text does not overflow or clip inside card containers</t>
        </is>
      </c>
      <c r="K206" s="24" t="inlineStr">
        <is>
          <t>As expected - Approved</t>
        </is>
      </c>
      <c r="L206" s="25" t="inlineStr">
        <is>
          <t>Pass</t>
        </is>
      </c>
      <c r="M206" s="23" t="inlineStr">
        <is>
          <t>Automated</t>
        </is>
      </c>
    </row>
    <row r="207">
      <c r="A207" s="26" t="inlineStr">
        <is>
          <t>TC_APP_206</t>
        </is>
      </c>
      <c r="B207" s="27" t="inlineStr">
        <is>
          <t>Mobile E2E</t>
        </is>
      </c>
      <c r="C207" s="28" t="inlineStr">
        <is>
          <t>Screen Orientation &amp; Responsive UI</t>
        </is>
      </c>
      <c r="D207" s="26" t="inlineStr">
        <is>
          <t>P2 - Medium</t>
        </is>
      </c>
      <c r="E207" s="27" t="inlineStr">
        <is>
          <t>UI/UX</t>
        </is>
      </c>
      <c r="F207" s="28" t="inlineStr">
        <is>
          <t>Orientation - Large Tablet Screen (12.9 inch) Grid Layout</t>
        </is>
      </c>
      <c r="G207" s="28" t="inlineStr">
        <is>
          <t>Device orientation sensors active</t>
        </is>
      </c>
      <c r="H207" s="28" t="inlineStr">
        <is>
          <t>1. Test on iPad Pro / Android Tablet. 2. Inspect UI responsive layout.</t>
        </is>
      </c>
      <c r="I207" s="28" t="inlineStr">
        <is>
          <t>Large screen width</t>
        </is>
      </c>
      <c r="J207" s="28" t="inlineStr">
        <is>
          <t>Dashboard uses multi-column grid layout (3-4 columns)</t>
        </is>
      </c>
      <c r="K207" s="28" t="inlineStr">
        <is>
          <t>As expected - Approved</t>
        </is>
      </c>
      <c r="L207" s="25" t="inlineStr">
        <is>
          <t>Pass</t>
        </is>
      </c>
      <c r="M207" s="27" t="inlineStr">
        <is>
          <t>Automated</t>
        </is>
      </c>
    </row>
    <row r="208">
      <c r="A208" s="22" t="inlineStr">
        <is>
          <t>TC_APP_207</t>
        </is>
      </c>
      <c r="B208" s="23" t="inlineStr">
        <is>
          <t>Mobile E2E</t>
        </is>
      </c>
      <c r="C208" s="24" t="inlineStr">
        <is>
          <t>Screen Orientation &amp; Responsive UI</t>
        </is>
      </c>
      <c r="D208" s="22" t="inlineStr">
        <is>
          <t>P2 - Medium</t>
        </is>
      </c>
      <c r="E208" s="23" t="inlineStr">
        <is>
          <t>Compatibility</t>
        </is>
      </c>
      <c r="F208" s="24" t="inlineStr">
        <is>
          <t>Orientation - System Font Size Scale - Extra Large (200%)</t>
        </is>
      </c>
      <c r="G208" s="24" t="inlineStr">
        <is>
          <t>Device orientation sensors active</t>
        </is>
      </c>
      <c r="H208" s="24" t="inlineStr">
        <is>
          <t>1. Increase Android System Font Size to 200%. 2. Inspect UI responsive layout.</t>
        </is>
      </c>
      <c r="I208" s="24" t="inlineStr">
        <is>
          <t>Accessibility font size</t>
        </is>
      </c>
      <c r="J208" s="24" t="inlineStr">
        <is>
          <t>UI text wraps cleanly without overlapping sibling components</t>
        </is>
      </c>
      <c r="K208" s="24" t="inlineStr">
        <is>
          <t>As expected - Approved</t>
        </is>
      </c>
      <c r="L208" s="25" t="inlineStr">
        <is>
          <t>Pass</t>
        </is>
      </c>
      <c r="M208" s="23" t="inlineStr">
        <is>
          <t>Automated</t>
        </is>
      </c>
    </row>
    <row r="209">
      <c r="A209" s="26" t="inlineStr">
        <is>
          <t>TC_APP_208</t>
        </is>
      </c>
      <c r="B209" s="27" t="inlineStr">
        <is>
          <t>Mobile E2E</t>
        </is>
      </c>
      <c r="C209" s="28" t="inlineStr">
        <is>
          <t>Screen Orientation &amp; Responsive UI</t>
        </is>
      </c>
      <c r="D209" s="26" t="inlineStr">
        <is>
          <t>P2 - Medium</t>
        </is>
      </c>
      <c r="E209" s="27" t="inlineStr">
        <is>
          <t>Compatibility</t>
        </is>
      </c>
      <c r="F209" s="28" t="inlineStr">
        <is>
          <t>Orientation - System Display Size Scale - Larger</t>
        </is>
      </c>
      <c r="G209" s="28" t="inlineStr">
        <is>
          <t>Device orientation sensors active</t>
        </is>
      </c>
      <c r="H209" s="28" t="inlineStr">
        <is>
          <t>1. Increase Android Display Density setting. 2. Inspect UI responsive layout.</t>
        </is>
      </c>
      <c r="I209" s="28" t="inlineStr">
        <is>
          <t>Display density change</t>
        </is>
      </c>
      <c r="J209" s="28" t="inlineStr">
        <is>
          <t>UI elements scale proportionally without pixelation</t>
        </is>
      </c>
      <c r="K209" s="28" t="inlineStr">
        <is>
          <t>As expected - Approved</t>
        </is>
      </c>
      <c r="L209" s="25" t="inlineStr">
        <is>
          <t>Pass</t>
        </is>
      </c>
      <c r="M209" s="27" t="inlineStr">
        <is>
          <t>Automated</t>
        </is>
      </c>
    </row>
    <row r="210">
      <c r="A210" s="22" t="inlineStr">
        <is>
          <t>TC_APP_209</t>
        </is>
      </c>
      <c r="B210" s="23" t="inlineStr">
        <is>
          <t>Mobile E2E</t>
        </is>
      </c>
      <c r="C210" s="24" t="inlineStr">
        <is>
          <t>Screen Orientation &amp; Responsive UI</t>
        </is>
      </c>
      <c r="D210" s="22" t="inlineStr">
        <is>
          <t>P2 - Medium</t>
        </is>
      </c>
      <c r="E210" s="23" t="inlineStr">
        <is>
          <t>Compatibility</t>
        </is>
      </c>
      <c r="F210" s="24" t="inlineStr">
        <is>
          <t>Orientation - Dark Theme / Night Mode Auto-Switch</t>
        </is>
      </c>
      <c r="G210" s="24" t="inlineStr">
        <is>
          <t>Device orientation sensors active</t>
        </is>
      </c>
      <c r="H210" s="24" t="inlineStr">
        <is>
          <t>1. Enable Android Dark Theme in system settings. 2. Inspect UI responsive layout.</t>
        </is>
      </c>
      <c r="I210" s="24" t="inlineStr">
        <is>
          <t>System dark mode ON</t>
        </is>
      </c>
      <c r="J210" s="24" t="inlineStr">
        <is>
          <t>App theme updates automatically to dark slate palette</t>
        </is>
      </c>
      <c r="K210" s="24" t="inlineStr">
        <is>
          <t>As expected - Approved</t>
        </is>
      </c>
      <c r="L210" s="25" t="inlineStr">
        <is>
          <t>Pass</t>
        </is>
      </c>
      <c r="M210" s="23" t="inlineStr">
        <is>
          <t>Manual</t>
        </is>
      </c>
    </row>
    <row r="211">
      <c r="A211" s="26" t="inlineStr">
        <is>
          <t>TC_APP_210</t>
        </is>
      </c>
      <c r="B211" s="27" t="inlineStr">
        <is>
          <t>Mobile E2E</t>
        </is>
      </c>
      <c r="C211" s="28" t="inlineStr">
        <is>
          <t>Screen Orientation &amp; Responsive UI</t>
        </is>
      </c>
      <c r="D211" s="26" t="inlineStr">
        <is>
          <t>P2 - Medium</t>
        </is>
      </c>
      <c r="E211" s="27" t="inlineStr">
        <is>
          <t>Compatibility</t>
        </is>
      </c>
      <c r="F211" s="28" t="inlineStr">
        <is>
          <t>Orientation - Light Theme System Switch</t>
        </is>
      </c>
      <c r="G211" s="28" t="inlineStr">
        <is>
          <t>Device orientation sensors active</t>
        </is>
      </c>
      <c r="H211" s="28" t="inlineStr">
        <is>
          <t>1. Disable Android Dark Theme in settings. 2. Inspect UI responsive layout.</t>
        </is>
      </c>
      <c r="I211" s="28" t="inlineStr">
        <is>
          <t>System dark mode OFF</t>
        </is>
      </c>
      <c r="J211" s="28" t="inlineStr">
        <is>
          <t>App theme updates automatically to clean light palette</t>
        </is>
      </c>
      <c r="K211" s="28" t="inlineStr">
        <is>
          <t>As expected - Approved</t>
        </is>
      </c>
      <c r="L211" s="25" t="inlineStr">
        <is>
          <t>Pass</t>
        </is>
      </c>
      <c r="M211" s="27" t="inlineStr">
        <is>
          <t>Manual</t>
        </is>
      </c>
    </row>
    <row r="212">
      <c r="A212" s="22" t="inlineStr">
        <is>
          <t>TC_APP_211</t>
        </is>
      </c>
      <c r="B212" s="23" t="inlineStr">
        <is>
          <t>Mobile E2E</t>
        </is>
      </c>
      <c r="C212" s="24" t="inlineStr">
        <is>
          <t>Screen Orientation &amp; Responsive UI</t>
        </is>
      </c>
      <c r="D212" s="22" t="inlineStr">
        <is>
          <t>P2 - Medium</t>
        </is>
      </c>
      <c r="E212" s="23" t="inlineStr">
        <is>
          <t>Compatibility</t>
        </is>
      </c>
      <c r="F212" s="24" t="inlineStr">
        <is>
          <t>Orientation - High Contrast Theme Mode Check</t>
        </is>
      </c>
      <c r="G212" s="24" t="inlineStr">
        <is>
          <t>Device orientation sensors active</t>
        </is>
      </c>
      <c r="H212" s="24" t="inlineStr">
        <is>
          <t>1. Enable High Contrast setting in OS. 2. Inspect UI responsive layout.</t>
        </is>
      </c>
      <c r="I212" s="24" t="inlineStr">
        <is>
          <t>High contrast mode</t>
        </is>
      </c>
      <c r="J212" s="24" t="inlineStr">
        <is>
          <t>Borders and text colors change to high contrast black/white</t>
        </is>
      </c>
      <c r="K212" s="24" t="inlineStr">
        <is>
          <t>As expected - Approved</t>
        </is>
      </c>
      <c r="L212" s="25" t="inlineStr">
        <is>
          <t>Pass</t>
        </is>
      </c>
      <c r="M212" s="23" t="inlineStr">
        <is>
          <t>Manual</t>
        </is>
      </c>
    </row>
    <row r="213">
      <c r="A213" s="26" t="inlineStr">
        <is>
          <t>TC_APP_212</t>
        </is>
      </c>
      <c r="B213" s="27" t="inlineStr">
        <is>
          <t>Mobile E2E</t>
        </is>
      </c>
      <c r="C213" s="28" t="inlineStr">
        <is>
          <t>Screen Orientation &amp; Responsive UI</t>
        </is>
      </c>
      <c r="D213" s="26" t="inlineStr">
        <is>
          <t>P2 - Medium</t>
        </is>
      </c>
      <c r="E213" s="27" t="inlineStr">
        <is>
          <t>Compatibility</t>
        </is>
      </c>
      <c r="F213" s="28" t="inlineStr">
        <is>
          <t>Orientation - Sub-pixel Text Sharpness</t>
        </is>
      </c>
      <c r="G213" s="28" t="inlineStr">
        <is>
          <t>Device orientation sensors active</t>
        </is>
      </c>
      <c r="H213" s="28" t="inlineStr">
        <is>
          <t>1. Inspect text rendering on 480 DPI display. 2. Inspect UI responsive layout.</t>
        </is>
      </c>
      <c r="I213" s="28" t="inlineStr">
        <is>
          <t>High DPI screen</t>
        </is>
      </c>
      <c r="J213" s="28" t="inlineStr">
        <is>
          <t>Text fonts render crisp without anti-aliasing blur</t>
        </is>
      </c>
      <c r="K213" s="28" t="inlineStr">
        <is>
          <t>As expected - Approved</t>
        </is>
      </c>
      <c r="L213" s="25" t="inlineStr">
        <is>
          <t>Pass</t>
        </is>
      </c>
      <c r="M213" s="27" t="inlineStr">
        <is>
          <t>Manual</t>
        </is>
      </c>
    </row>
    <row r="214">
      <c r="A214" s="22" t="inlineStr">
        <is>
          <t>TC_APP_213</t>
        </is>
      </c>
      <c r="B214" s="23" t="inlineStr">
        <is>
          <t>Mobile E2E</t>
        </is>
      </c>
      <c r="C214" s="24" t="inlineStr">
        <is>
          <t>Screen Orientation &amp; Responsive UI</t>
        </is>
      </c>
      <c r="D214" s="22" t="inlineStr">
        <is>
          <t>P2 - Medium</t>
        </is>
      </c>
      <c r="E214" s="23" t="inlineStr">
        <is>
          <t>Compatibility</t>
        </is>
      </c>
      <c r="F214" s="24" t="inlineStr">
        <is>
          <t>Orientation - Edge-to-Edge Navigation Bar Background</t>
        </is>
      </c>
      <c r="G214" s="24" t="inlineStr">
        <is>
          <t>Device orientation sensors active</t>
        </is>
      </c>
      <c r="H214" s="24" t="inlineStr">
        <is>
          <t>1. Inspect status bar and nav bar backgrounds. 2. Inspect UI responsive layout.</t>
        </is>
      </c>
      <c r="I214" s="24" t="inlineStr">
        <is>
          <t>WindowInsets API</t>
        </is>
      </c>
      <c r="J214" s="24" t="inlineStr">
        <is>
          <t>Transparent status bar blends into app header gradient</t>
        </is>
      </c>
      <c r="K214" s="24" t="inlineStr">
        <is>
          <t>As expected - Approved</t>
        </is>
      </c>
      <c r="L214" s="25" t="inlineStr">
        <is>
          <t>Pass</t>
        </is>
      </c>
      <c r="M214" s="23" t="inlineStr">
        <is>
          <t>Manual</t>
        </is>
      </c>
    </row>
    <row r="215">
      <c r="A215" s="26" t="inlineStr">
        <is>
          <t>TC_APP_214</t>
        </is>
      </c>
      <c r="B215" s="27" t="inlineStr">
        <is>
          <t>Mobile E2E</t>
        </is>
      </c>
      <c r="C215" s="28" t="inlineStr">
        <is>
          <t>Screen Orientation &amp; Responsive UI</t>
        </is>
      </c>
      <c r="D215" s="26" t="inlineStr">
        <is>
          <t>P2 - Medium</t>
        </is>
      </c>
      <c r="E215" s="27" t="inlineStr">
        <is>
          <t>Compatibility</t>
        </is>
      </c>
      <c r="F215" s="28" t="inlineStr">
        <is>
          <t>Orientation - Software Keyboard Screen Height Reduction</t>
        </is>
      </c>
      <c r="G215" s="28" t="inlineStr">
        <is>
          <t>Device orientation sensors active</t>
        </is>
      </c>
      <c r="H215" s="28" t="inlineStr">
        <is>
          <t>1. Open keyboard in landscape mode. 2. Inspect UI responsive layout.</t>
        </is>
      </c>
      <c r="I215" s="28" t="inlineStr">
        <is>
          <t>Landscape keyboard</t>
        </is>
      </c>
      <c r="J215" s="28" t="inlineStr">
        <is>
          <t>Form scrolls automatically to keep focused input visible</t>
        </is>
      </c>
      <c r="K215" s="28" t="inlineStr">
        <is>
          <t>As expected - Approved</t>
        </is>
      </c>
      <c r="L215" s="25" t="inlineStr">
        <is>
          <t>Pass</t>
        </is>
      </c>
      <c r="M215" s="27" t="inlineStr">
        <is>
          <t>Manual</t>
        </is>
      </c>
    </row>
    <row r="216">
      <c r="A216" s="22" t="inlineStr">
        <is>
          <t>TC_APP_215</t>
        </is>
      </c>
      <c r="B216" s="23" t="inlineStr">
        <is>
          <t>Mobile E2E</t>
        </is>
      </c>
      <c r="C216" s="24" t="inlineStr">
        <is>
          <t>Screen Orientation &amp; Responsive UI</t>
        </is>
      </c>
      <c r="D216" s="22" t="inlineStr">
        <is>
          <t>P2 - Medium</t>
        </is>
      </c>
      <c r="E216" s="23" t="inlineStr">
        <is>
          <t>Compatibility</t>
        </is>
      </c>
      <c r="F216" s="24" t="inlineStr">
        <is>
          <t>Orientation - Keyboard Hide Restores Viewport Height</t>
        </is>
      </c>
      <c r="G216" s="24" t="inlineStr">
        <is>
          <t>Device orientation sensors active</t>
        </is>
      </c>
      <c r="H216" s="24" t="inlineStr">
        <is>
          <t>1. Close software keyboard in landscape. 2. Inspect UI responsive layout.</t>
        </is>
      </c>
      <c r="I216" s="24" t="inlineStr">
        <is>
          <t>Keyboard close</t>
        </is>
      </c>
      <c r="J216" s="24" t="inlineStr">
        <is>
          <t>Viewport height restores to full screen dimensions</t>
        </is>
      </c>
      <c r="K216" s="24" t="inlineStr">
        <is>
          <t>As expected - Approved</t>
        </is>
      </c>
      <c r="L216" s="25" t="inlineStr">
        <is>
          <t>Pass</t>
        </is>
      </c>
      <c r="M216" s="23" t="inlineStr">
        <is>
          <t>Manual</t>
        </is>
      </c>
    </row>
    <row r="217">
      <c r="A217" s="26" t="inlineStr">
        <is>
          <t>TC_APP_216</t>
        </is>
      </c>
      <c r="B217" s="27" t="inlineStr">
        <is>
          <t>Mobile E2E</t>
        </is>
      </c>
      <c r="C217" s="28" t="inlineStr">
        <is>
          <t>Screen Orientation &amp; Responsive UI</t>
        </is>
      </c>
      <c r="D217" s="26" t="inlineStr">
        <is>
          <t>P2 - Medium</t>
        </is>
      </c>
      <c r="E217" s="27" t="inlineStr">
        <is>
          <t>Compatibility</t>
        </is>
      </c>
      <c r="F217" s="28" t="inlineStr">
        <is>
          <t>Orientation - Split Screen Drag Handle Visibility</t>
        </is>
      </c>
      <c r="G217" s="28" t="inlineStr">
        <is>
          <t>Device orientation sensors active</t>
        </is>
      </c>
      <c r="H217" s="28" t="inlineStr">
        <is>
          <t>1. Inspect app window in multi-window mode. 2. Inspect UI responsive layout.</t>
        </is>
      </c>
      <c r="I217" s="28" t="inlineStr">
        <is>
          <t>Split divider</t>
        </is>
      </c>
      <c r="J217" s="28" t="inlineStr">
        <is>
          <t>App boundary respects system split handle boundary</t>
        </is>
      </c>
      <c r="K217" s="28" t="inlineStr">
        <is>
          <t>As expected - Approved</t>
        </is>
      </c>
      <c r="L217" s="25" t="inlineStr">
        <is>
          <t>Pass</t>
        </is>
      </c>
      <c r="M217" s="27" t="inlineStr">
        <is>
          <t>Manual</t>
        </is>
      </c>
    </row>
    <row r="218">
      <c r="A218" s="22" t="inlineStr">
        <is>
          <t>TC_APP_217</t>
        </is>
      </c>
      <c r="B218" s="23" t="inlineStr">
        <is>
          <t>Mobile E2E</t>
        </is>
      </c>
      <c r="C218" s="24" t="inlineStr">
        <is>
          <t>Screen Orientation &amp; Responsive UI</t>
        </is>
      </c>
      <c r="D218" s="22" t="inlineStr">
        <is>
          <t>P2 - Medium</t>
        </is>
      </c>
      <c r="E218" s="23" t="inlineStr">
        <is>
          <t>Compatibility</t>
        </is>
      </c>
      <c r="F218" s="24" t="inlineStr">
        <is>
          <t>Orientation - External Display HDMI / Chromecast Output</t>
        </is>
      </c>
      <c r="G218" s="24" t="inlineStr">
        <is>
          <t>Device orientation sensors active</t>
        </is>
      </c>
      <c r="H218" s="24" t="inlineStr">
        <is>
          <t>1. Connect device to external monitor. 2. Inspect UI responsive layout.</t>
        </is>
      </c>
      <c r="I218" s="24" t="inlineStr">
        <is>
          <t>Secondary display</t>
        </is>
      </c>
      <c r="J218" s="24" t="inlineStr">
        <is>
          <t>App renders presentation view or clean mirrored output</t>
        </is>
      </c>
      <c r="K218" s="24" t="inlineStr">
        <is>
          <t>As expected - Approved</t>
        </is>
      </c>
      <c r="L218" s="25" t="inlineStr">
        <is>
          <t>Pass</t>
        </is>
      </c>
      <c r="M218" s="23" t="inlineStr">
        <is>
          <t>Manual</t>
        </is>
      </c>
    </row>
    <row r="219">
      <c r="A219" s="26" t="inlineStr">
        <is>
          <t>TC_APP_218</t>
        </is>
      </c>
      <c r="B219" s="27" t="inlineStr">
        <is>
          <t>Mobile E2E</t>
        </is>
      </c>
      <c r="C219" s="28" t="inlineStr">
        <is>
          <t>Screen Orientation &amp; Responsive UI</t>
        </is>
      </c>
      <c r="D219" s="26" t="inlineStr">
        <is>
          <t>P2 - Medium</t>
        </is>
      </c>
      <c r="E219" s="27" t="inlineStr">
        <is>
          <t>Compatibility</t>
        </is>
      </c>
      <c r="F219" s="28" t="inlineStr">
        <is>
          <t>Orientation - Orientation Sensor Locking Preference</t>
        </is>
      </c>
      <c r="G219" s="28" t="inlineStr">
        <is>
          <t>Device orientation sensors active</t>
        </is>
      </c>
      <c r="H219" s="28" t="inlineStr">
        <is>
          <t>1. Enable 'Lock Orientation' in app settings. 2. Inspect UI responsive layout.</t>
        </is>
      </c>
      <c r="I219" s="28" t="inlineStr">
        <is>
          <t>Orientation lock setting</t>
        </is>
      </c>
      <c r="J219" s="28" t="inlineStr">
        <is>
          <t>App ignores device rotation and remains in portrait</t>
        </is>
      </c>
      <c r="K219" s="28" t="inlineStr">
        <is>
          <t>As expected - Approved</t>
        </is>
      </c>
      <c r="L219" s="25" t="inlineStr">
        <is>
          <t>Pass</t>
        </is>
      </c>
      <c r="M219" s="27" t="inlineStr">
        <is>
          <t>Manual</t>
        </is>
      </c>
    </row>
    <row r="220">
      <c r="A220" s="22" t="inlineStr">
        <is>
          <t>TC_APP_219</t>
        </is>
      </c>
      <c r="B220" s="23" t="inlineStr">
        <is>
          <t>Mobile E2E</t>
        </is>
      </c>
      <c r="C220" s="24" t="inlineStr">
        <is>
          <t>Screen Orientation &amp; Responsive UI</t>
        </is>
      </c>
      <c r="D220" s="22" t="inlineStr">
        <is>
          <t>P2 - Medium</t>
        </is>
      </c>
      <c r="E220" s="23" t="inlineStr">
        <is>
          <t>Compatibility</t>
        </is>
      </c>
      <c r="F220" s="24" t="inlineStr">
        <is>
          <t>Orientation - Screen Saver / Ambient Mode Prevention</t>
        </is>
      </c>
      <c r="G220" s="24" t="inlineStr">
        <is>
          <t>Device orientation sensors active</t>
        </is>
      </c>
      <c r="H220" s="24" t="inlineStr">
        <is>
          <t>1. Keep food recipe preview open for 10 mins. 2. Inspect UI responsive layout.</t>
        </is>
      </c>
      <c r="I220" s="24" t="inlineStr">
        <is>
          <t>FLAG_KEEP_SCREEN_ON</t>
        </is>
      </c>
      <c r="J220" s="24" t="inlineStr">
        <is>
          <t>Prevents screen from dimming/sleeping while viewing recipe</t>
        </is>
      </c>
      <c r="K220" s="24" t="inlineStr">
        <is>
          <t>As expected - Approved</t>
        </is>
      </c>
      <c r="L220" s="25" t="inlineStr">
        <is>
          <t>Pass</t>
        </is>
      </c>
      <c r="M220" s="23" t="inlineStr">
        <is>
          <t>Manual</t>
        </is>
      </c>
    </row>
    <row r="221">
      <c r="A221" s="26" t="inlineStr">
        <is>
          <t>TC_APP_220</t>
        </is>
      </c>
      <c r="B221" s="27" t="inlineStr">
        <is>
          <t>Mobile E2E</t>
        </is>
      </c>
      <c r="C221" s="28" t="inlineStr">
        <is>
          <t>Screen Orientation &amp; Responsive UI</t>
        </is>
      </c>
      <c r="D221" s="26" t="inlineStr">
        <is>
          <t>P2 - Medium</t>
        </is>
      </c>
      <c r="E221" s="27" t="inlineStr">
        <is>
          <t>UI/UX</t>
        </is>
      </c>
      <c r="F221" s="28" t="inlineStr">
        <is>
          <t>Orientation - UI Layout Shift Score (CLS Metric)</t>
        </is>
      </c>
      <c r="G221" s="28" t="inlineStr">
        <is>
          <t>Device orientation sensors active</t>
        </is>
      </c>
      <c r="H221" s="28" t="inlineStr">
        <is>
          <t>1. Measure layout shift during orientation change. 2. Inspect UI responsive layout.</t>
        </is>
      </c>
      <c r="I221" s="28" t="inlineStr">
        <is>
          <t>CLS Metric &lt; 0.05</t>
        </is>
      </c>
      <c r="J221" s="28" t="inlineStr">
        <is>
          <t>Layout shift score well within acceptable performance limit</t>
        </is>
      </c>
      <c r="K221" s="28" t="inlineStr">
        <is>
          <t>As expected - Approved</t>
        </is>
      </c>
      <c r="L221" s="25" t="inlineStr">
        <is>
          <t>Pass</t>
        </is>
      </c>
      <c r="M221" s="27" t="inlineStr">
        <is>
          <t>Manual</t>
        </is>
      </c>
    </row>
    <row r="222">
      <c r="A222" s="22" t="inlineStr">
        <is>
          <t>TC_APP_221</t>
        </is>
      </c>
      <c r="B222" s="23" t="inlineStr">
        <is>
          <t>Mobile E2E</t>
        </is>
      </c>
      <c r="C222" s="24" t="inlineStr">
        <is>
          <t>Offline Mode &amp; Sync Resilience</t>
        </is>
      </c>
      <c r="D222" s="22" t="inlineStr">
        <is>
          <t>P0 - Critical</t>
        </is>
      </c>
      <c r="E222" s="23" t="inlineStr">
        <is>
          <t>Functional</t>
        </is>
      </c>
      <c r="F222" s="24" t="inlineStr">
        <is>
          <t>Offline - Airplane Mode Offline Detection</t>
        </is>
      </c>
      <c r="G222" s="24" t="inlineStr">
        <is>
          <t>Network connectivity control available</t>
        </is>
      </c>
      <c r="H222" s="24" t="inlineStr">
        <is>
          <t>1. Enable Airplane Mode on device. 2. Inspect offline sync behavior.</t>
        </is>
      </c>
      <c r="I222" s="24" t="inlineStr">
        <is>
          <t>Airplane mode ON</t>
        </is>
      </c>
      <c r="J222" s="24" t="inlineStr">
        <is>
          <t>App instantly displays 'Offline Mode - Viewing Cached Data' bar</t>
        </is>
      </c>
      <c r="K222" s="24" t="inlineStr">
        <is>
          <t>As expected - Approved</t>
        </is>
      </c>
      <c r="L222" s="25" t="inlineStr">
        <is>
          <t>Pass</t>
        </is>
      </c>
      <c r="M222" s="23" t="inlineStr">
        <is>
          <t>Automated</t>
        </is>
      </c>
    </row>
    <row r="223">
      <c r="A223" s="26" t="inlineStr">
        <is>
          <t>TC_APP_222</t>
        </is>
      </c>
      <c r="B223" s="27" t="inlineStr">
        <is>
          <t>Mobile E2E</t>
        </is>
      </c>
      <c r="C223" s="28" t="inlineStr">
        <is>
          <t>Offline Mode &amp; Sync Resilience</t>
        </is>
      </c>
      <c r="D223" s="26" t="inlineStr">
        <is>
          <t>P0 - Critical</t>
        </is>
      </c>
      <c r="E223" s="27" t="inlineStr">
        <is>
          <t>Functional</t>
        </is>
      </c>
      <c r="F223" s="28" t="inlineStr">
        <is>
          <t>Offline - WiFi Disconnection Handling</t>
        </is>
      </c>
      <c r="G223" s="28" t="inlineStr">
        <is>
          <t>Network connectivity control available</t>
        </is>
      </c>
      <c r="H223" s="28" t="inlineStr">
        <is>
          <t>1. Turn off WiFi with mobile data disabled. 2. Inspect offline sync behavior.</t>
        </is>
      </c>
      <c r="I223" s="28" t="inlineStr">
        <is>
          <t>WiFi OFF</t>
        </is>
      </c>
      <c r="J223" s="28" t="inlineStr">
        <is>
          <t>App seamlessly switches to offline cache mode</t>
        </is>
      </c>
      <c r="K223" s="28" t="inlineStr">
        <is>
          <t>As expected - Approved</t>
        </is>
      </c>
      <c r="L223" s="25" t="inlineStr">
        <is>
          <t>Pass</t>
        </is>
      </c>
      <c r="M223" s="27" t="inlineStr">
        <is>
          <t>Automated</t>
        </is>
      </c>
    </row>
    <row r="224">
      <c r="A224" s="22" t="inlineStr">
        <is>
          <t>TC_APP_223</t>
        </is>
      </c>
      <c r="B224" s="23" t="inlineStr">
        <is>
          <t>Mobile E2E</t>
        </is>
      </c>
      <c r="C224" s="24" t="inlineStr">
        <is>
          <t>Offline Mode &amp; Sync Resilience</t>
        </is>
      </c>
      <c r="D224" s="22" t="inlineStr">
        <is>
          <t>P0 - Critical</t>
        </is>
      </c>
      <c r="E224" s="23" t="inlineStr">
        <is>
          <t>Functional</t>
        </is>
      </c>
      <c r="F224" s="24" t="inlineStr">
        <is>
          <t>Offline - Cellular Data Disconnection Handling</t>
        </is>
      </c>
      <c r="G224" s="24" t="inlineStr">
        <is>
          <t>Network connectivity control available</t>
        </is>
      </c>
      <c r="H224" s="24" t="inlineStr">
        <is>
          <t>1. Disable Mobile Data connection. 2. Inspect offline sync behavior.</t>
        </is>
      </c>
      <c r="I224" s="24" t="inlineStr">
        <is>
          <t>Data OFF</t>
        </is>
      </c>
      <c r="J224" s="24" t="inlineStr">
        <is>
          <t>App maintains cached session without throwing network exception</t>
        </is>
      </c>
      <c r="K224" s="24" t="inlineStr">
        <is>
          <t>As expected - Approved</t>
        </is>
      </c>
      <c r="L224" s="25" t="inlineStr">
        <is>
          <t>Pass</t>
        </is>
      </c>
      <c r="M224" s="23" t="inlineStr">
        <is>
          <t>Automated</t>
        </is>
      </c>
    </row>
    <row r="225">
      <c r="A225" s="26" t="inlineStr">
        <is>
          <t>TC_APP_224</t>
        </is>
      </c>
      <c r="B225" s="27" t="inlineStr">
        <is>
          <t>Mobile E2E</t>
        </is>
      </c>
      <c r="C225" s="28" t="inlineStr">
        <is>
          <t>Offline Mode &amp; Sync Resilience</t>
        </is>
      </c>
      <c r="D225" s="26" t="inlineStr">
        <is>
          <t>P0 - Critical</t>
        </is>
      </c>
      <c r="E225" s="27" t="inlineStr">
        <is>
          <t>Functional</t>
        </is>
      </c>
      <c r="F225" s="28" t="inlineStr">
        <is>
          <t>Offline - Offline Food Listings View from Cache</t>
        </is>
      </c>
      <c r="G225" s="28" t="inlineStr">
        <is>
          <t>Network connectivity control available</t>
        </is>
      </c>
      <c r="H225" s="28" t="inlineStr">
        <is>
          <t>1. Browse food items while offline. 2. Inspect offline sync behavior.</t>
        </is>
      </c>
      <c r="I225" s="28" t="inlineStr">
        <is>
          <t>Cached food items</t>
        </is>
      </c>
      <c r="J225" s="28" t="inlineStr">
        <is>
          <t>Previously loaded food listings remain viewable from IndexedDB</t>
        </is>
      </c>
      <c r="K225" s="28" t="inlineStr">
        <is>
          <t>As expected - Approved</t>
        </is>
      </c>
      <c r="L225" s="25" t="inlineStr">
        <is>
          <t>Pass</t>
        </is>
      </c>
      <c r="M225" s="27" t="inlineStr">
        <is>
          <t>Automated</t>
        </is>
      </c>
    </row>
    <row r="226">
      <c r="A226" s="22" t="inlineStr">
        <is>
          <t>TC_APP_225</t>
        </is>
      </c>
      <c r="B226" s="23" t="inlineStr">
        <is>
          <t>Mobile E2E</t>
        </is>
      </c>
      <c r="C226" s="24" t="inlineStr">
        <is>
          <t>Offline Mode &amp; Sync Resilience</t>
        </is>
      </c>
      <c r="D226" s="22" t="inlineStr">
        <is>
          <t>P0 - Critical</t>
        </is>
      </c>
      <c r="E226" s="23" t="inlineStr">
        <is>
          <t>Functional</t>
        </is>
      </c>
      <c r="F226" s="24" t="inlineStr">
        <is>
          <t>Offline - Offline Food Claim Queue</t>
        </is>
      </c>
      <c r="G226" s="24" t="inlineStr">
        <is>
          <t>Network connectivity control available</t>
        </is>
      </c>
      <c r="H226" s="24" t="inlineStr">
        <is>
          <t>1. Tap 'Claim Food' while offline. 2. Inspect offline sync behavior.</t>
        </is>
      </c>
      <c r="I226" s="24" t="inlineStr">
        <is>
          <t>Offline claim action</t>
        </is>
      </c>
      <c r="J226" s="24" t="inlineStr">
        <is>
          <t>Claim request queued locally in offline sync queue</t>
        </is>
      </c>
      <c r="K226" s="24" t="inlineStr">
        <is>
          <t>As expected - Approved</t>
        </is>
      </c>
      <c r="L226" s="25" t="inlineStr">
        <is>
          <t>Pass</t>
        </is>
      </c>
      <c r="M226" s="23" t="inlineStr">
        <is>
          <t>Automated</t>
        </is>
      </c>
    </row>
    <row r="227">
      <c r="A227" s="26" t="inlineStr">
        <is>
          <t>TC_APP_226</t>
        </is>
      </c>
      <c r="B227" s="27" t="inlineStr">
        <is>
          <t>Mobile E2E</t>
        </is>
      </c>
      <c r="C227" s="28" t="inlineStr">
        <is>
          <t>Offline Mode &amp; Sync Resilience</t>
        </is>
      </c>
      <c r="D227" s="26" t="inlineStr">
        <is>
          <t>P0 - Critical</t>
        </is>
      </c>
      <c r="E227" s="27" t="inlineStr">
        <is>
          <t>Functional</t>
        </is>
      </c>
      <c r="F227" s="28" t="inlineStr">
        <is>
          <t>Offline - Offline Claim Pending Badge Indicator</t>
        </is>
      </c>
      <c r="G227" s="28" t="inlineStr">
        <is>
          <t>Network connectivity control available</t>
        </is>
      </c>
      <c r="H227" s="28" t="inlineStr">
        <is>
          <t>1. Check claim item status while offline. 2. Inspect offline sync behavior.</t>
        </is>
      </c>
      <c r="I227" s="28" t="inlineStr">
        <is>
          <t>Offline claim card</t>
        </is>
      </c>
      <c r="J227" s="28" t="inlineStr">
        <is>
          <t>Displays clock icon badge 'Pending Sync on Reconnect'</t>
        </is>
      </c>
      <c r="K227" s="28" t="inlineStr">
        <is>
          <t>As expected - Approved</t>
        </is>
      </c>
      <c r="L227" s="25" t="inlineStr">
        <is>
          <t>Pass</t>
        </is>
      </c>
      <c r="M227" s="27" t="inlineStr">
        <is>
          <t>Automated</t>
        </is>
      </c>
    </row>
    <row r="228">
      <c r="A228" s="22" t="inlineStr">
        <is>
          <t>TC_APP_227</t>
        </is>
      </c>
      <c r="B228" s="23" t="inlineStr">
        <is>
          <t>Mobile E2E</t>
        </is>
      </c>
      <c r="C228" s="24" t="inlineStr">
        <is>
          <t>Offline Mode &amp; Sync Resilience</t>
        </is>
      </c>
      <c r="D228" s="22" t="inlineStr">
        <is>
          <t>P0 - Critical</t>
        </is>
      </c>
      <c r="E228" s="23" t="inlineStr">
        <is>
          <t>Functional</t>
        </is>
      </c>
      <c r="F228" s="24" t="inlineStr">
        <is>
          <t>Offline - Re-connection Auto-Sync Trigger</t>
        </is>
      </c>
      <c r="G228" s="24" t="inlineStr">
        <is>
          <t>Network connectivity control available</t>
        </is>
      </c>
      <c r="H228" s="24" t="inlineStr">
        <is>
          <t>1. Turn Airplane Mode OFF. 2. Inspect offline sync behavior.</t>
        </is>
      </c>
      <c r="I228" s="24" t="inlineStr">
        <is>
          <t>Network restored</t>
        </is>
      </c>
      <c r="J228" s="24" t="inlineStr">
        <is>
          <t>App detects connection and automatically syncs pending queue</t>
        </is>
      </c>
      <c r="K228" s="24" t="inlineStr">
        <is>
          <t>As expected - Approved</t>
        </is>
      </c>
      <c r="L228" s="25" t="inlineStr">
        <is>
          <t>Pass</t>
        </is>
      </c>
      <c r="M228" s="23" t="inlineStr">
        <is>
          <t>Automated</t>
        </is>
      </c>
    </row>
    <row r="229">
      <c r="A229" s="26" t="inlineStr">
        <is>
          <t>TC_APP_228</t>
        </is>
      </c>
      <c r="B229" s="27" t="inlineStr">
        <is>
          <t>Mobile E2E</t>
        </is>
      </c>
      <c r="C229" s="28" t="inlineStr">
        <is>
          <t>Offline Mode &amp; Sync Resilience</t>
        </is>
      </c>
      <c r="D229" s="26" t="inlineStr">
        <is>
          <t>P0 - Critical</t>
        </is>
      </c>
      <c r="E229" s="27" t="inlineStr">
        <is>
          <t>Functional</t>
        </is>
      </c>
      <c r="F229" s="28" t="inlineStr">
        <is>
          <t>Offline - Sync Success Toast Alert</t>
        </is>
      </c>
      <c r="G229" s="28" t="inlineStr">
        <is>
          <t>Network connectivity control available</t>
        </is>
      </c>
      <c r="H229" s="28" t="inlineStr">
        <is>
          <t>1. Observe app post re-connection. 2. Inspect offline sync behavior.</t>
        </is>
      </c>
      <c r="I229" s="28" t="inlineStr">
        <is>
          <t>Sync complete event</t>
        </is>
      </c>
      <c r="J229" s="28" t="inlineStr">
        <is>
          <t>Toast notification: 'Synced 1 pending claim successfully'</t>
        </is>
      </c>
      <c r="K229" s="28" t="inlineStr">
        <is>
          <t>As expected - Approved</t>
        </is>
      </c>
      <c r="L229" s="25" t="inlineStr">
        <is>
          <t>Pass</t>
        </is>
      </c>
      <c r="M229" s="27" t="inlineStr">
        <is>
          <t>Automated</t>
        </is>
      </c>
    </row>
    <row r="230">
      <c r="A230" s="22" t="inlineStr">
        <is>
          <t>TC_APP_229</t>
        </is>
      </c>
      <c r="B230" s="23" t="inlineStr">
        <is>
          <t>Mobile E2E</t>
        </is>
      </c>
      <c r="C230" s="24" t="inlineStr">
        <is>
          <t>Offline Mode &amp; Sync Resilience</t>
        </is>
      </c>
      <c r="D230" s="22" t="inlineStr">
        <is>
          <t>P0 - Critical</t>
        </is>
      </c>
      <c r="E230" s="23" t="inlineStr">
        <is>
          <t>Functional</t>
        </is>
      </c>
      <c r="F230" s="24" t="inlineStr">
        <is>
          <t>Offline - Offline Image Fallback Placeholder</t>
        </is>
      </c>
      <c r="G230" s="24" t="inlineStr">
        <is>
          <t>Network connectivity control available</t>
        </is>
      </c>
      <c r="H230" s="24" t="inlineStr">
        <is>
          <t>1. Scroll to uncached image while offline. 2. Inspect offline sync behavior.</t>
        </is>
      </c>
      <c r="I230" s="24" t="inlineStr">
        <is>
          <t>Uncached food image</t>
        </is>
      </c>
      <c r="J230" s="24" t="inlineStr">
        <is>
          <t>Displays offline placeholder icon without broken image link</t>
        </is>
      </c>
      <c r="K230" s="24" t="inlineStr">
        <is>
          <t>As expected - Approved</t>
        </is>
      </c>
      <c r="L230" s="25" t="inlineStr">
        <is>
          <t>Pass</t>
        </is>
      </c>
      <c r="M230" s="23" t="inlineStr">
        <is>
          <t>Automated</t>
        </is>
      </c>
    </row>
    <row r="231">
      <c r="A231" s="26" t="inlineStr">
        <is>
          <t>TC_APP_230</t>
        </is>
      </c>
      <c r="B231" s="27" t="inlineStr">
        <is>
          <t>Mobile E2E</t>
        </is>
      </c>
      <c r="C231" s="28" t="inlineStr">
        <is>
          <t>Offline Mode &amp; Sync Resilience</t>
        </is>
      </c>
      <c r="D231" s="26" t="inlineStr">
        <is>
          <t>P0 - Critical</t>
        </is>
      </c>
      <c r="E231" s="27" t="inlineStr">
        <is>
          <t>Functional</t>
        </is>
      </c>
      <c r="F231" s="28" t="inlineStr">
        <is>
          <t>Offline - Offline Form Submission Block</t>
        </is>
      </c>
      <c r="G231" s="28" t="inlineStr">
        <is>
          <t>Network connectivity control available</t>
        </is>
      </c>
      <c r="H231" s="28" t="inlineStr">
        <is>
          <t>1. Attempt creating new donor listing while offline. 2. Inspect offline sync behavior.</t>
        </is>
      </c>
      <c r="I231" s="28" t="inlineStr">
        <is>
          <t>Offline new listing</t>
        </is>
      </c>
      <c r="J231" s="28" t="inlineStr">
        <is>
          <t>Prompts user: 'Connect to internet to publish new listings'</t>
        </is>
      </c>
      <c r="K231" s="28" t="inlineStr">
        <is>
          <t>As expected - Approved</t>
        </is>
      </c>
      <c r="L231" s="25" t="inlineStr">
        <is>
          <t>Pass</t>
        </is>
      </c>
      <c r="M231" s="27" t="inlineStr">
        <is>
          <t>Automated</t>
        </is>
      </c>
    </row>
    <row r="232">
      <c r="A232" s="22" t="inlineStr">
        <is>
          <t>TC_APP_231</t>
        </is>
      </c>
      <c r="B232" s="23" t="inlineStr">
        <is>
          <t>Mobile E2E</t>
        </is>
      </c>
      <c r="C232" s="24" t="inlineStr">
        <is>
          <t>Offline Mode &amp; Sync Resilience</t>
        </is>
      </c>
      <c r="D232" s="22" t="inlineStr">
        <is>
          <t>P1 - High</t>
        </is>
      </c>
      <c r="E232" s="23" t="inlineStr">
        <is>
          <t>Functional</t>
        </is>
      </c>
      <c r="F232" s="24" t="inlineStr">
        <is>
          <t>Offline - Network Slow RTT Latency Warning</t>
        </is>
      </c>
      <c r="G232" s="24" t="inlineStr">
        <is>
          <t>Network connectivity control available</t>
        </is>
      </c>
      <c r="H232" s="24" t="inlineStr">
        <is>
          <t>1. Simulate 5000ms ping latency. 2. Inspect offline sync behavior.</t>
        </is>
      </c>
      <c r="I232" s="24" t="inlineStr">
        <is>
          <t>High ping latency</t>
        </is>
      </c>
      <c r="J232" s="24" t="inlineStr">
        <is>
          <t>Displays subtle banner 'Slow connection detected'</t>
        </is>
      </c>
      <c r="K232" s="24" t="inlineStr">
        <is>
          <t>As expected - Approved</t>
        </is>
      </c>
      <c r="L232" s="25" t="inlineStr">
        <is>
          <t>Pass</t>
        </is>
      </c>
      <c r="M232" s="23" t="inlineStr">
        <is>
          <t>Automated</t>
        </is>
      </c>
    </row>
    <row r="233">
      <c r="A233" s="26" t="inlineStr">
        <is>
          <t>TC_APP_232</t>
        </is>
      </c>
      <c r="B233" s="27" t="inlineStr">
        <is>
          <t>Mobile E2E</t>
        </is>
      </c>
      <c r="C233" s="28" t="inlineStr">
        <is>
          <t>Offline Mode &amp; Sync Resilience</t>
        </is>
      </c>
      <c r="D233" s="26" t="inlineStr">
        <is>
          <t>P1 - High</t>
        </is>
      </c>
      <c r="E233" s="27" t="inlineStr">
        <is>
          <t>Functional</t>
        </is>
      </c>
      <c r="F233" s="28" t="inlineStr">
        <is>
          <t>Offline - Flaky Network Connection Resilience</t>
        </is>
      </c>
      <c r="G233" s="28" t="inlineStr">
        <is>
          <t>Network connectivity control available</t>
        </is>
      </c>
      <c r="H233" s="28" t="inlineStr">
        <is>
          <t>1. Rapidly toggle network ON and OFF 10 times. 2. Inspect offline sync behavior.</t>
        </is>
      </c>
      <c r="I233" s="28" t="inlineStr">
        <is>
          <t>Network flap simulation</t>
        </is>
      </c>
      <c r="J233" s="28" t="inlineStr">
        <is>
          <t>App state manager remains stable without entering infinite loop</t>
        </is>
      </c>
      <c r="K233" s="28" t="inlineStr">
        <is>
          <t>As expected - Approved</t>
        </is>
      </c>
      <c r="L233" s="25" t="inlineStr">
        <is>
          <t>Pass</t>
        </is>
      </c>
      <c r="M233" s="27" t="inlineStr">
        <is>
          <t>Automated</t>
        </is>
      </c>
    </row>
    <row r="234">
      <c r="A234" s="22" t="inlineStr">
        <is>
          <t>TC_APP_233</t>
        </is>
      </c>
      <c r="B234" s="23" t="inlineStr">
        <is>
          <t>Mobile E2E</t>
        </is>
      </c>
      <c r="C234" s="24" t="inlineStr">
        <is>
          <t>Offline Mode &amp; Sync Resilience</t>
        </is>
      </c>
      <c r="D234" s="22" t="inlineStr">
        <is>
          <t>P1 - High</t>
        </is>
      </c>
      <c r="E234" s="23" t="inlineStr">
        <is>
          <t>Functional</t>
        </is>
      </c>
      <c r="F234" s="24" t="inlineStr">
        <is>
          <t>Offline - Offline Authentication Guard</t>
        </is>
      </c>
      <c r="G234" s="24" t="inlineStr">
        <is>
          <t>Network connectivity control available</t>
        </is>
      </c>
      <c r="H234" s="24" t="inlineStr">
        <is>
          <t>1. Launch app offline with valid cached token. 2. Inspect offline sync behavior.</t>
        </is>
      </c>
      <c r="I234" s="24" t="inlineStr">
        <is>
          <t>Cached auth token</t>
        </is>
      </c>
      <c r="J234" s="24" t="inlineStr">
        <is>
          <t>App opens cached dashboard directly without needing online re-auth</t>
        </is>
      </c>
      <c r="K234" s="24" t="inlineStr">
        <is>
          <t>As expected - Approved</t>
        </is>
      </c>
      <c r="L234" s="25" t="inlineStr">
        <is>
          <t>Pass</t>
        </is>
      </c>
      <c r="M234" s="23" t="inlineStr">
        <is>
          <t>Automated</t>
        </is>
      </c>
    </row>
    <row r="235">
      <c r="A235" s="26" t="inlineStr">
        <is>
          <t>TC_APP_234</t>
        </is>
      </c>
      <c r="B235" s="27" t="inlineStr">
        <is>
          <t>Mobile E2E</t>
        </is>
      </c>
      <c r="C235" s="28" t="inlineStr">
        <is>
          <t>Offline Mode &amp; Sync Resilience</t>
        </is>
      </c>
      <c r="D235" s="26" t="inlineStr">
        <is>
          <t>P1 - High</t>
        </is>
      </c>
      <c r="E235" s="27" t="inlineStr">
        <is>
          <t>Functional</t>
        </is>
      </c>
      <c r="F235" s="28" t="inlineStr">
        <is>
          <t>Offline - Offline Expired Token Guard</t>
        </is>
      </c>
      <c r="G235" s="28" t="inlineStr">
        <is>
          <t>Network connectivity control available</t>
        </is>
      </c>
      <c r="H235" s="28" t="inlineStr">
        <is>
          <t>1. Launch app offline with expired token. 2. Inspect offline sync behavior.</t>
        </is>
      </c>
      <c r="I235" s="28" t="inlineStr">
        <is>
          <t>Expired cached token</t>
        </is>
      </c>
      <c r="J235" s="28" t="inlineStr">
        <is>
          <t>App prompts user to connect to internet to renew login</t>
        </is>
      </c>
      <c r="K235" s="28" t="inlineStr">
        <is>
          <t>As expected - Approved</t>
        </is>
      </c>
      <c r="L235" s="25" t="inlineStr">
        <is>
          <t>Pass</t>
        </is>
      </c>
      <c r="M235" s="27" t="inlineStr">
        <is>
          <t>Automated</t>
        </is>
      </c>
    </row>
    <row r="236">
      <c r="A236" s="22" t="inlineStr">
        <is>
          <t>TC_APP_235</t>
        </is>
      </c>
      <c r="B236" s="23" t="inlineStr">
        <is>
          <t>Mobile E2E</t>
        </is>
      </c>
      <c r="C236" s="24" t="inlineStr">
        <is>
          <t>Offline Mode &amp; Sync Resilience</t>
        </is>
      </c>
      <c r="D236" s="22" t="inlineStr">
        <is>
          <t>P1 - High</t>
        </is>
      </c>
      <c r="E236" s="23" t="inlineStr">
        <is>
          <t>Functional</t>
        </is>
      </c>
      <c r="F236" s="24" t="inlineStr">
        <is>
          <t>Offline - Background Offline Queue Persistence</t>
        </is>
      </c>
      <c r="G236" s="24" t="inlineStr">
        <is>
          <t>Network connectivity control available</t>
        </is>
      </c>
      <c r="H236" s="24" t="inlineStr">
        <is>
          <t>1. Force kill app while offline claims queued. 2. Inspect offline sync behavior.</t>
        </is>
      </c>
      <c r="I236" s="24" t="inlineStr">
        <is>
          <t>Force kill with queue</t>
        </is>
      </c>
      <c r="J236" s="24" t="inlineStr">
        <is>
          <t>Pending queue saved in encrypted storage and restored on launch</t>
        </is>
      </c>
      <c r="K236" s="24" t="inlineStr">
        <is>
          <t>As expected - Approved</t>
        </is>
      </c>
      <c r="L236" s="25" t="inlineStr">
        <is>
          <t>Pass</t>
        </is>
      </c>
      <c r="M236" s="23" t="inlineStr">
        <is>
          <t>Automated</t>
        </is>
      </c>
    </row>
    <row r="237">
      <c r="A237" s="26" t="inlineStr">
        <is>
          <t>TC_APP_236</t>
        </is>
      </c>
      <c r="B237" s="27" t="inlineStr">
        <is>
          <t>Mobile E2E</t>
        </is>
      </c>
      <c r="C237" s="28" t="inlineStr">
        <is>
          <t>Offline Mode &amp; Sync Resilience</t>
        </is>
      </c>
      <c r="D237" s="26" t="inlineStr">
        <is>
          <t>P1 - High</t>
        </is>
      </c>
      <c r="E237" s="27" t="inlineStr">
        <is>
          <t>Functional</t>
        </is>
      </c>
      <c r="F237" s="28" t="inlineStr">
        <is>
          <t>Offline - Conflict Resolution on Sync (Server Claimed First)</t>
        </is>
      </c>
      <c r="G237" s="28" t="inlineStr">
        <is>
          <t>Network connectivity control available</t>
        </is>
      </c>
      <c r="H237" s="28" t="inlineStr">
        <is>
          <t>1. Sync offline claim for item already claimed by another user. 2. Inspect offline sync behavior.</t>
        </is>
      </c>
      <c r="I237" s="28" t="inlineStr">
        <is>
          <t>Sync conflict</t>
        </is>
      </c>
      <c r="J237" s="28" t="inlineStr">
        <is>
          <t>App alerts user: 'Item was claimed by another user while offline'</t>
        </is>
      </c>
      <c r="K237" s="28" t="inlineStr">
        <is>
          <t>As expected - Approved</t>
        </is>
      </c>
      <c r="L237" s="25" t="inlineStr">
        <is>
          <t>Pass</t>
        </is>
      </c>
      <c r="M237" s="27" t="inlineStr">
        <is>
          <t>Automated</t>
        </is>
      </c>
    </row>
    <row r="238">
      <c r="A238" s="22" t="inlineStr">
        <is>
          <t>TC_APP_237</t>
        </is>
      </c>
      <c r="B238" s="23" t="inlineStr">
        <is>
          <t>Mobile E2E</t>
        </is>
      </c>
      <c r="C238" s="24" t="inlineStr">
        <is>
          <t>Offline Mode &amp; Sync Resilience</t>
        </is>
      </c>
      <c r="D238" s="22" t="inlineStr">
        <is>
          <t>P1 - High</t>
        </is>
      </c>
      <c r="E238" s="23" t="inlineStr">
        <is>
          <t>Functional</t>
        </is>
      </c>
      <c r="F238" s="24" t="inlineStr">
        <is>
          <t>Offline - Conflict Resolution on Sync (Item Deleted)</t>
        </is>
      </c>
      <c r="G238" s="24" t="inlineStr">
        <is>
          <t>Network connectivity control available</t>
        </is>
      </c>
      <c r="H238" s="24" t="inlineStr">
        <is>
          <t>1. Sync offline claim for item deleted by donor. 2. Inspect offline sync behavior.</t>
        </is>
      </c>
      <c r="I238" s="24" t="inlineStr">
        <is>
          <t>Deleted item sync</t>
        </is>
      </c>
      <c r="J238" s="24" t="inlineStr">
        <is>
          <t>App notifies user and removes stale item from local queue</t>
        </is>
      </c>
      <c r="K238" s="24" t="inlineStr">
        <is>
          <t>As expected - Approved</t>
        </is>
      </c>
      <c r="L238" s="25" t="inlineStr">
        <is>
          <t>Pass</t>
        </is>
      </c>
      <c r="M238" s="23" t="inlineStr">
        <is>
          <t>Manual</t>
        </is>
      </c>
    </row>
    <row r="239">
      <c r="A239" s="26" t="inlineStr">
        <is>
          <t>TC_APP_238</t>
        </is>
      </c>
      <c r="B239" s="27" t="inlineStr">
        <is>
          <t>Mobile E2E</t>
        </is>
      </c>
      <c r="C239" s="28" t="inlineStr">
        <is>
          <t>Offline Mode &amp; Sync Resilience</t>
        </is>
      </c>
      <c r="D239" s="26" t="inlineStr">
        <is>
          <t>P1 - High</t>
        </is>
      </c>
      <c r="E239" s="27" t="inlineStr">
        <is>
          <t>Functional</t>
        </is>
      </c>
      <c r="F239" s="28" t="inlineStr">
        <is>
          <t>Offline - Retry Back-Off Algorithm on Sync Failure</t>
        </is>
      </c>
      <c r="G239" s="28" t="inlineStr">
        <is>
          <t>Network connectivity control available</t>
        </is>
      </c>
      <c r="H239" s="28" t="inlineStr">
        <is>
          <t>1. Server returns 503 error during sync retry. 2. Inspect offline sync behavior.</t>
        </is>
      </c>
      <c r="I239" s="28" t="inlineStr">
        <is>
          <t>503 Server Busy</t>
        </is>
      </c>
      <c r="J239" s="28" t="inlineStr">
        <is>
          <t>App applies exponential back-off (2s, 4s, 8s, 16s) before retrying</t>
        </is>
      </c>
      <c r="K239" s="28" t="inlineStr">
        <is>
          <t>As expected - Approved</t>
        </is>
      </c>
      <c r="L239" s="25" t="inlineStr">
        <is>
          <t>Pass</t>
        </is>
      </c>
      <c r="M239" s="27" t="inlineStr">
        <is>
          <t>Manual</t>
        </is>
      </c>
    </row>
    <row r="240">
      <c r="A240" s="22" t="inlineStr">
        <is>
          <t>TC_APP_239</t>
        </is>
      </c>
      <c r="B240" s="23" t="inlineStr">
        <is>
          <t>Mobile E2E</t>
        </is>
      </c>
      <c r="C240" s="24" t="inlineStr">
        <is>
          <t>Offline Mode &amp; Sync Resilience</t>
        </is>
      </c>
      <c r="D240" s="22" t="inlineStr">
        <is>
          <t>P1 - High</t>
        </is>
      </c>
      <c r="E240" s="23" t="inlineStr">
        <is>
          <t>Performance</t>
        </is>
      </c>
      <c r="F240" s="24" t="inlineStr">
        <is>
          <t>Offline - Network Quality API Status Badge</t>
        </is>
      </c>
      <c r="G240" s="24" t="inlineStr">
        <is>
          <t>Network connectivity control available</t>
        </is>
      </c>
      <c r="H240" s="24" t="inlineStr">
        <is>
          <t>1. Inspect network quality indicator in drawer. 2. Inspect offline sync behavior.</t>
        </is>
      </c>
      <c r="I240" s="24" t="inlineStr">
        <is>
          <t>Network status bar</t>
        </is>
      </c>
      <c r="J240" s="24" t="inlineStr">
        <is>
          <t>Displays connection quality (Excellent, Fair, Poor, Offline)</t>
        </is>
      </c>
      <c r="K240" s="24" t="inlineStr">
        <is>
          <t>As expected - Approved</t>
        </is>
      </c>
      <c r="L240" s="25" t="inlineStr">
        <is>
          <t>Pass</t>
        </is>
      </c>
      <c r="M240" s="23" t="inlineStr">
        <is>
          <t>Manual</t>
        </is>
      </c>
    </row>
    <row r="241">
      <c r="A241" s="26" t="inlineStr">
        <is>
          <t>TC_APP_240</t>
        </is>
      </c>
      <c r="B241" s="27" t="inlineStr">
        <is>
          <t>Mobile E2E</t>
        </is>
      </c>
      <c r="C241" s="28" t="inlineStr">
        <is>
          <t>Offline Mode &amp; Sync Resilience</t>
        </is>
      </c>
      <c r="D241" s="26" t="inlineStr">
        <is>
          <t>P1 - High</t>
        </is>
      </c>
      <c r="E241" s="27" t="inlineStr">
        <is>
          <t>Performance</t>
        </is>
      </c>
      <c r="F241" s="28" t="inlineStr">
        <is>
          <t>Offline - Low Data Mode Optimization</t>
        </is>
      </c>
      <c r="G241" s="28" t="inlineStr">
        <is>
          <t>Network connectivity control available</t>
        </is>
      </c>
      <c r="H241" s="28" t="inlineStr">
        <is>
          <t>1. Enable 'Data Saver Mode' in Android OS. 2. Inspect offline sync behavior.</t>
        </is>
      </c>
      <c r="I241" s="28" t="inlineStr">
        <is>
          <t>Data Saver ON</t>
        </is>
      </c>
      <c r="J241" s="28" t="inlineStr">
        <is>
          <t>App stops pre-fetching high-res images to save mobile data</t>
        </is>
      </c>
      <c r="K241" s="28" t="inlineStr">
        <is>
          <t>As expected - Approved</t>
        </is>
      </c>
      <c r="L241" s="25" t="inlineStr">
        <is>
          <t>Pass</t>
        </is>
      </c>
      <c r="M241" s="27" t="inlineStr">
        <is>
          <t>Manual</t>
        </is>
      </c>
    </row>
    <row r="242">
      <c r="A242" s="22" t="inlineStr">
        <is>
          <t>TC_APP_241</t>
        </is>
      </c>
      <c r="B242" s="23" t="inlineStr">
        <is>
          <t>Mobile E2E</t>
        </is>
      </c>
      <c r="C242" s="24" t="inlineStr">
        <is>
          <t>Offline Mode &amp; Sync Resilience</t>
        </is>
      </c>
      <c r="D242" s="22" t="inlineStr">
        <is>
          <t>P2 - Medium</t>
        </is>
      </c>
      <c r="E242" s="23" t="inlineStr">
        <is>
          <t>Performance</t>
        </is>
      </c>
      <c r="F242" s="24" t="inlineStr">
        <is>
          <t>Offline - Offline Map Tile Caching</t>
        </is>
      </c>
      <c r="G242" s="24" t="inlineStr">
        <is>
          <t>Network connectivity control available</t>
        </is>
      </c>
      <c r="H242" s="24" t="inlineStr">
        <is>
          <t>1. View pickup location map while offline. 2. Inspect offline sync behavior.</t>
        </is>
      </c>
      <c r="I242" s="24" t="inlineStr">
        <is>
          <t>Cached map tiles</t>
        </is>
      </c>
      <c r="J242" s="24" t="inlineStr">
        <is>
          <t>Renders pre-cached map vector tiles for pickup neighborhood</t>
        </is>
      </c>
      <c r="K242" s="24" t="inlineStr">
        <is>
          <t>As expected - Approved</t>
        </is>
      </c>
      <c r="L242" s="25" t="inlineStr">
        <is>
          <t>Pass</t>
        </is>
      </c>
      <c r="M242" s="23" t="inlineStr">
        <is>
          <t>Manual</t>
        </is>
      </c>
    </row>
    <row r="243">
      <c r="A243" s="26" t="inlineStr">
        <is>
          <t>TC_APP_242</t>
        </is>
      </c>
      <c r="B243" s="27" t="inlineStr">
        <is>
          <t>Mobile E2E</t>
        </is>
      </c>
      <c r="C243" s="28" t="inlineStr">
        <is>
          <t>Offline Mode &amp; Sync Resilience</t>
        </is>
      </c>
      <c r="D243" s="26" t="inlineStr">
        <is>
          <t>P2 - Medium</t>
        </is>
      </c>
      <c r="E243" s="27" t="inlineStr">
        <is>
          <t>Performance</t>
        </is>
      </c>
      <c r="F243" s="28" t="inlineStr">
        <is>
          <t>Offline - HTTP Cache Response Headers (ETag / If-None-Match)</t>
        </is>
      </c>
      <c r="G243" s="28" t="inlineStr">
        <is>
          <t>Network connectivity control available</t>
        </is>
      </c>
      <c r="H243" s="28" t="inlineStr">
        <is>
          <t>1. Fetch food list API with ETag cached. 2. Inspect offline sync behavior.</t>
        </is>
      </c>
      <c r="I243" s="28" t="inlineStr">
        <is>
          <t>ETag header check</t>
        </is>
      </c>
      <c r="J243" s="28" t="inlineStr">
        <is>
          <t>Server responds 304 Not Modified; app uses cached payload</t>
        </is>
      </c>
      <c r="K243" s="28" t="inlineStr">
        <is>
          <t>As expected - Approved</t>
        </is>
      </c>
      <c r="L243" s="25" t="inlineStr">
        <is>
          <t>Pass</t>
        </is>
      </c>
      <c r="M243" s="27" t="inlineStr">
        <is>
          <t>Manual</t>
        </is>
      </c>
    </row>
    <row r="244">
      <c r="A244" s="22" t="inlineStr">
        <is>
          <t>TC_APP_243</t>
        </is>
      </c>
      <c r="B244" s="23" t="inlineStr">
        <is>
          <t>Mobile E2E</t>
        </is>
      </c>
      <c r="C244" s="24" t="inlineStr">
        <is>
          <t>Offline Mode &amp; Sync Resilience</t>
        </is>
      </c>
      <c r="D244" s="22" t="inlineStr">
        <is>
          <t>P2 - Medium</t>
        </is>
      </c>
      <c r="E244" s="23" t="inlineStr">
        <is>
          <t>Performance</t>
        </is>
      </c>
      <c r="F244" s="24" t="inlineStr">
        <is>
          <t>Offline - Offline Analytics Logging Queue</t>
        </is>
      </c>
      <c r="G244" s="24" t="inlineStr">
        <is>
          <t>Network connectivity control available</t>
        </is>
      </c>
      <c r="H244" s="24" t="inlineStr">
        <is>
          <t>1. Trigger user actions while offline. 2. Inspect offline sync behavior.</t>
        </is>
      </c>
      <c r="I244" s="24" t="inlineStr">
        <is>
          <t>Offline analytics events</t>
        </is>
      </c>
      <c r="J244" s="24" t="inlineStr">
        <is>
          <t>Analytics events stored locally and batch uploaded on reconnect</t>
        </is>
      </c>
      <c r="K244" s="24" t="inlineStr">
        <is>
          <t>As expected - Approved</t>
        </is>
      </c>
      <c r="L244" s="25" t="inlineStr">
        <is>
          <t>Pass</t>
        </is>
      </c>
      <c r="M244" s="23" t="inlineStr">
        <is>
          <t>Manual</t>
        </is>
      </c>
    </row>
    <row r="245">
      <c r="A245" s="26" t="inlineStr">
        <is>
          <t>TC_APP_244</t>
        </is>
      </c>
      <c r="B245" s="27" t="inlineStr">
        <is>
          <t>Mobile E2E</t>
        </is>
      </c>
      <c r="C245" s="28" t="inlineStr">
        <is>
          <t>Offline Mode &amp; Sync Resilience</t>
        </is>
      </c>
      <c r="D245" s="26" t="inlineStr">
        <is>
          <t>P2 - Medium</t>
        </is>
      </c>
      <c r="E245" s="27" t="inlineStr">
        <is>
          <t>Performance</t>
        </is>
      </c>
      <c r="F245" s="28" t="inlineStr">
        <is>
          <t>Offline - Offline User Profile View</t>
        </is>
      </c>
      <c r="G245" s="28" t="inlineStr">
        <is>
          <t>Network connectivity control available</t>
        </is>
      </c>
      <c r="H245" s="28" t="inlineStr">
        <is>
          <t>1. View profile screen while offline. 2. Inspect offline sync behavior.</t>
        </is>
      </c>
      <c r="I245" s="28" t="inlineStr">
        <is>
          <t>Cached profile details</t>
        </is>
      </c>
      <c r="J245" s="28" t="inlineStr">
        <is>
          <t>Displays cached user profile information cleanly</t>
        </is>
      </c>
      <c r="K245" s="28" t="inlineStr">
        <is>
          <t>As expected - Approved</t>
        </is>
      </c>
      <c r="L245" s="25" t="inlineStr">
        <is>
          <t>Pass</t>
        </is>
      </c>
      <c r="M245" s="27" t="inlineStr">
        <is>
          <t>Manual</t>
        </is>
      </c>
    </row>
    <row r="246">
      <c r="A246" s="22" t="inlineStr">
        <is>
          <t>TC_APP_245</t>
        </is>
      </c>
      <c r="B246" s="23" t="inlineStr">
        <is>
          <t>Mobile E2E</t>
        </is>
      </c>
      <c r="C246" s="24" t="inlineStr">
        <is>
          <t>Offline Mode &amp; Sync Resilience</t>
        </is>
      </c>
      <c r="D246" s="22" t="inlineStr">
        <is>
          <t>P2 - Medium</t>
        </is>
      </c>
      <c r="E246" s="23" t="inlineStr">
        <is>
          <t>Performance</t>
        </is>
      </c>
      <c r="F246" s="24" t="inlineStr">
        <is>
          <t>Offline - Offline Storage Quota Cleanup</t>
        </is>
      </c>
      <c r="G246" s="24" t="inlineStr">
        <is>
          <t>Network connectivity control available</t>
        </is>
      </c>
      <c r="H246" s="24" t="inlineStr">
        <is>
          <t>1. Exceed 50MB offline cache limit. 2. Inspect offline sync behavior.</t>
        </is>
      </c>
      <c r="I246" s="24" t="inlineStr">
        <is>
          <t>Cache limit reached</t>
        </is>
      </c>
      <c r="J246" s="24" t="inlineStr">
        <is>
          <t>App automatically purges oldest cached food images</t>
        </is>
      </c>
      <c r="K246" s="24" t="inlineStr">
        <is>
          <t>As expected - Approved</t>
        </is>
      </c>
      <c r="L246" s="25" t="inlineStr">
        <is>
          <t>Pass</t>
        </is>
      </c>
      <c r="M246" s="23" t="inlineStr">
        <is>
          <t>Manual</t>
        </is>
      </c>
    </row>
    <row r="247">
      <c r="A247" s="26" t="inlineStr">
        <is>
          <t>TC_APP_246</t>
        </is>
      </c>
      <c r="B247" s="27" t="inlineStr">
        <is>
          <t>Mobile E2E</t>
        </is>
      </c>
      <c r="C247" s="28" t="inlineStr">
        <is>
          <t>Mobile Performance &amp; Memory</t>
        </is>
      </c>
      <c r="D247" s="26" t="inlineStr">
        <is>
          <t>P1 - High</t>
        </is>
      </c>
      <c r="E247" s="27" t="inlineStr">
        <is>
          <t>Performance</t>
        </is>
      </c>
      <c r="F247" s="28" t="inlineStr">
        <is>
          <t>Perf - App Cold Start Time (LCP &lt; 1.2s)</t>
        </is>
      </c>
      <c r="G247" s="28" t="inlineStr">
        <is>
          <t>Mobile performance profiler active</t>
        </is>
      </c>
      <c r="H247" s="28" t="inlineStr">
        <is>
          <t>1. Measure time from tap launch icon to interactive dashboard. 2. Record performance metrics.</t>
        </is>
      </c>
      <c r="I247" s="28" t="inlineStr">
        <is>
          <t>Profiler timer</t>
        </is>
      </c>
      <c r="J247" s="28" t="inlineStr">
        <is>
          <t>Cold launch completes in under 1200ms</t>
        </is>
      </c>
      <c r="K247" s="28" t="inlineStr">
        <is>
          <t>As expected - Approved</t>
        </is>
      </c>
      <c r="L247" s="25" t="inlineStr">
        <is>
          <t>Pass</t>
        </is>
      </c>
      <c r="M247" s="27" t="inlineStr">
        <is>
          <t>Automated</t>
        </is>
      </c>
    </row>
    <row r="248">
      <c r="A248" s="22" t="inlineStr">
        <is>
          <t>TC_APP_247</t>
        </is>
      </c>
      <c r="B248" s="23" t="inlineStr">
        <is>
          <t>Mobile E2E</t>
        </is>
      </c>
      <c r="C248" s="24" t="inlineStr">
        <is>
          <t>Mobile Performance &amp; Memory</t>
        </is>
      </c>
      <c r="D248" s="22" t="inlineStr">
        <is>
          <t>P1 - High</t>
        </is>
      </c>
      <c r="E248" s="23" t="inlineStr">
        <is>
          <t>Performance</t>
        </is>
      </c>
      <c r="F248" s="24" t="inlineStr">
        <is>
          <t>Perf - App Warm Start Time (&lt; 300ms)</t>
        </is>
      </c>
      <c r="G248" s="24" t="inlineStr">
        <is>
          <t>Mobile performance profiler active</t>
        </is>
      </c>
      <c r="H248" s="24" t="inlineStr">
        <is>
          <t>1. Measure time to resume from recent apps switcher. 2. Record performance metrics.</t>
        </is>
      </c>
      <c r="I248" s="24" t="inlineStr">
        <is>
          <t>Warm start profiler</t>
        </is>
      </c>
      <c r="J248" s="24" t="inlineStr">
        <is>
          <t>Warm start completes in under 300ms</t>
        </is>
      </c>
      <c r="K248" s="24" t="inlineStr">
        <is>
          <t>As expected - Approved</t>
        </is>
      </c>
      <c r="L248" s="25" t="inlineStr">
        <is>
          <t>Pass</t>
        </is>
      </c>
      <c r="M248" s="23" t="inlineStr">
        <is>
          <t>Automated</t>
        </is>
      </c>
    </row>
    <row r="249">
      <c r="A249" s="26" t="inlineStr">
        <is>
          <t>TC_APP_248</t>
        </is>
      </c>
      <c r="B249" s="27" t="inlineStr">
        <is>
          <t>Mobile E2E</t>
        </is>
      </c>
      <c r="C249" s="28" t="inlineStr">
        <is>
          <t>Mobile Performance &amp; Memory</t>
        </is>
      </c>
      <c r="D249" s="26" t="inlineStr">
        <is>
          <t>P1 - High</t>
        </is>
      </c>
      <c r="E249" s="27" t="inlineStr">
        <is>
          <t>Performance</t>
        </is>
      </c>
      <c r="F249" s="28" t="inlineStr">
        <is>
          <t>Perf - Idle RAM Consumption (&lt; 60MB)</t>
        </is>
      </c>
      <c r="G249" s="28" t="inlineStr">
        <is>
          <t>Mobile performance profiler active</t>
        </is>
      </c>
      <c r="H249" s="28" t="inlineStr">
        <is>
          <t>1. Measure steady-state memory footprint after 5 mins idle. 2. Record performance metrics.</t>
        </is>
      </c>
      <c r="I249" s="28" t="inlineStr">
        <is>
          <t>Memory profiler</t>
        </is>
      </c>
      <c r="J249" s="28" t="inlineStr">
        <is>
          <t>RAM consumption stable at ~55MB</t>
        </is>
      </c>
      <c r="K249" s="28" t="inlineStr">
        <is>
          <t>As expected - Approved</t>
        </is>
      </c>
      <c r="L249" s="25" t="inlineStr">
        <is>
          <t>Pass</t>
        </is>
      </c>
      <c r="M249" s="27" t="inlineStr">
        <is>
          <t>Automated</t>
        </is>
      </c>
    </row>
    <row r="250">
      <c r="A250" s="22" t="inlineStr">
        <is>
          <t>TC_APP_249</t>
        </is>
      </c>
      <c r="B250" s="23" t="inlineStr">
        <is>
          <t>Mobile E2E</t>
        </is>
      </c>
      <c r="C250" s="24" t="inlineStr">
        <is>
          <t>Mobile Performance &amp; Memory</t>
        </is>
      </c>
      <c r="D250" s="22" t="inlineStr">
        <is>
          <t>P1 - High</t>
        </is>
      </c>
      <c r="E250" s="23" t="inlineStr">
        <is>
          <t>Performance</t>
        </is>
      </c>
      <c r="F250" s="24" t="inlineStr">
        <is>
          <t>Perf - Peak RAM Consumption (&lt; 120MB)</t>
        </is>
      </c>
      <c r="G250" s="24" t="inlineStr">
        <is>
          <t>Mobile performance profiler active</t>
        </is>
      </c>
      <c r="H250" s="24" t="inlineStr">
        <is>
          <t>1. Scroll through 200 image listings continuously. 2. Record performance metrics.</t>
        </is>
      </c>
      <c r="I250" s="24" t="inlineStr">
        <is>
          <t>Peak RAM profiler</t>
        </is>
      </c>
      <c r="J250" s="24" t="inlineStr">
        <is>
          <t>Peak RAM consumption stays below 120MB</t>
        </is>
      </c>
      <c r="K250" s="24" t="inlineStr">
        <is>
          <t>As expected - Approved</t>
        </is>
      </c>
      <c r="L250" s="25" t="inlineStr">
        <is>
          <t>Pass</t>
        </is>
      </c>
      <c r="M250" s="23" t="inlineStr">
        <is>
          <t>Automated</t>
        </is>
      </c>
    </row>
    <row r="251">
      <c r="A251" s="26" t="inlineStr">
        <is>
          <t>TC_APP_250</t>
        </is>
      </c>
      <c r="B251" s="27" t="inlineStr">
        <is>
          <t>Mobile E2E</t>
        </is>
      </c>
      <c r="C251" s="28" t="inlineStr">
        <is>
          <t>Mobile Performance &amp; Memory</t>
        </is>
      </c>
      <c r="D251" s="26" t="inlineStr">
        <is>
          <t>P1 - High</t>
        </is>
      </c>
      <c r="E251" s="27" t="inlineStr">
        <is>
          <t>Performance</t>
        </is>
      </c>
      <c r="F251" s="28" t="inlineStr">
        <is>
          <t>Perf - Memory Leak Verification (Activity Leak Check)</t>
        </is>
      </c>
      <c r="G251" s="28" t="inlineStr">
        <is>
          <t>Mobile performance profiler active</t>
        </is>
      </c>
      <c r="H251" s="28" t="inlineStr">
        <is>
          <t>1. Open and close Auth screen 50 times. 2. Record performance metrics.</t>
        </is>
      </c>
      <c r="I251" s="28" t="inlineStr">
        <is>
          <t>LeakCanary / Memory Heap Dump</t>
        </is>
      </c>
      <c r="J251" s="28" t="inlineStr">
        <is>
          <t>0 memory leaks detected; garbage collector reclaims memory</t>
        </is>
      </c>
      <c r="K251" s="28" t="inlineStr">
        <is>
          <t>As expected - Approved</t>
        </is>
      </c>
      <c r="L251" s="25" t="inlineStr">
        <is>
          <t>Pass</t>
        </is>
      </c>
      <c r="M251" s="27" t="inlineStr">
        <is>
          <t>Automated</t>
        </is>
      </c>
    </row>
    <row r="252">
      <c r="A252" s="22" t="inlineStr">
        <is>
          <t>TC_APP_251</t>
        </is>
      </c>
      <c r="B252" s="23" t="inlineStr">
        <is>
          <t>Mobile E2E</t>
        </is>
      </c>
      <c r="C252" s="24" t="inlineStr">
        <is>
          <t>Mobile Performance &amp; Memory</t>
        </is>
      </c>
      <c r="D252" s="22" t="inlineStr">
        <is>
          <t>P1 - High</t>
        </is>
      </c>
      <c r="E252" s="23" t="inlineStr">
        <is>
          <t>Performance</t>
        </is>
      </c>
      <c r="F252" s="24" t="inlineStr">
        <is>
          <t>Perf - Bitmap Image Cache Clearance</t>
        </is>
      </c>
      <c r="G252" s="24" t="inlineStr">
        <is>
          <t>Mobile performance profiler active</t>
        </is>
      </c>
      <c r="H252" s="24" t="inlineStr">
        <is>
          <t>1. Navigate past 100 food photos. 2. Record performance metrics.</t>
        </is>
      </c>
      <c r="I252" s="24" t="inlineStr">
        <is>
          <t>Bitmap memory profiler</t>
        </is>
      </c>
      <c r="J252" s="24" t="inlineStr">
        <is>
          <t>Unused bitmaps evicted from LRU memory cache cleanly</t>
        </is>
      </c>
      <c r="K252" s="24" t="inlineStr">
        <is>
          <t>As expected - Approved</t>
        </is>
      </c>
      <c r="L252" s="25" t="inlineStr">
        <is>
          <t>Pass</t>
        </is>
      </c>
      <c r="M252" s="23" t="inlineStr">
        <is>
          <t>Automated</t>
        </is>
      </c>
    </row>
    <row r="253">
      <c r="A253" s="26" t="inlineStr">
        <is>
          <t>TC_APP_252</t>
        </is>
      </c>
      <c r="B253" s="27" t="inlineStr">
        <is>
          <t>Mobile E2E</t>
        </is>
      </c>
      <c r="C253" s="28" t="inlineStr">
        <is>
          <t>Mobile Performance &amp; Memory</t>
        </is>
      </c>
      <c r="D253" s="26" t="inlineStr">
        <is>
          <t>P1 - High</t>
        </is>
      </c>
      <c r="E253" s="27" t="inlineStr">
        <is>
          <t>Performance</t>
        </is>
      </c>
      <c r="F253" s="28" t="inlineStr">
        <is>
          <t>Perf - CPU Usage During Idle (&lt; 1%)</t>
        </is>
      </c>
      <c r="G253" s="28" t="inlineStr">
        <is>
          <t>Mobile performance profiler active</t>
        </is>
      </c>
      <c r="H253" s="28" t="inlineStr">
        <is>
          <t>1. Measure CPU utilization while app sitting idle. 2. Record performance metrics.</t>
        </is>
      </c>
      <c r="I253" s="28" t="inlineStr">
        <is>
          <t>CPU Profiler</t>
        </is>
      </c>
      <c r="J253" s="28" t="inlineStr">
        <is>
          <t>CPU usage remains &lt; 1% idle</t>
        </is>
      </c>
      <c r="K253" s="28" t="inlineStr">
        <is>
          <t>As expected - Approved</t>
        </is>
      </c>
      <c r="L253" s="25" t="inlineStr">
        <is>
          <t>Pass</t>
        </is>
      </c>
      <c r="M253" s="27" t="inlineStr">
        <is>
          <t>Automated</t>
        </is>
      </c>
    </row>
    <row r="254">
      <c r="A254" s="22" t="inlineStr">
        <is>
          <t>TC_APP_253</t>
        </is>
      </c>
      <c r="B254" s="23" t="inlineStr">
        <is>
          <t>Mobile E2E</t>
        </is>
      </c>
      <c r="C254" s="24" t="inlineStr">
        <is>
          <t>Mobile Performance &amp; Memory</t>
        </is>
      </c>
      <c r="D254" s="22" t="inlineStr">
        <is>
          <t>P1 - High</t>
        </is>
      </c>
      <c r="E254" s="23" t="inlineStr">
        <is>
          <t>Performance</t>
        </is>
      </c>
      <c r="F254" s="24" t="inlineStr">
        <is>
          <t>Perf - CPU Usage During Active Scroll (&lt; 15%)</t>
        </is>
      </c>
      <c r="G254" s="24" t="inlineStr">
        <is>
          <t>Mobile performance profiler active</t>
        </is>
      </c>
      <c r="H254" s="24" t="inlineStr">
        <is>
          <t>1. Measure CPU utilization while scrolling food list. 2. Record performance metrics.</t>
        </is>
      </c>
      <c r="I254" s="24" t="inlineStr">
        <is>
          <t>CPU Profiler</t>
        </is>
      </c>
      <c r="J254" s="24" t="inlineStr">
        <is>
          <t>CPU usage stays below 15% during fast scroll</t>
        </is>
      </c>
      <c r="K254" s="24" t="inlineStr">
        <is>
          <t>As expected - Approved</t>
        </is>
      </c>
      <c r="L254" s="25" t="inlineStr">
        <is>
          <t>Pass</t>
        </is>
      </c>
      <c r="M254" s="23" t="inlineStr">
        <is>
          <t>Automated</t>
        </is>
      </c>
    </row>
    <row r="255">
      <c r="A255" s="26" t="inlineStr">
        <is>
          <t>TC_APP_254</t>
        </is>
      </c>
      <c r="B255" s="27" t="inlineStr">
        <is>
          <t>Mobile E2E</t>
        </is>
      </c>
      <c r="C255" s="28" t="inlineStr">
        <is>
          <t>Mobile Performance &amp; Memory</t>
        </is>
      </c>
      <c r="D255" s="26" t="inlineStr">
        <is>
          <t>P1 - High</t>
        </is>
      </c>
      <c r="E255" s="27" t="inlineStr">
        <is>
          <t>Performance</t>
        </is>
      </c>
      <c r="F255" s="28" t="inlineStr">
        <is>
          <t>Perf - Frame Rate Benchmark - Dashboard Scroll (60 FPS)</t>
        </is>
      </c>
      <c r="G255" s="28" t="inlineStr">
        <is>
          <t>Mobile performance profiler active</t>
        </is>
      </c>
      <c r="H255" s="28" t="inlineStr">
        <is>
          <t>1. Measure frame rendering times during list scroll. 2. Record performance metrics.</t>
        </is>
      </c>
      <c r="I255" s="28" t="inlineStr">
        <is>
          <t>GFXInfo profiler</t>
        </is>
      </c>
      <c r="J255" s="28" t="inlineStr">
        <is>
          <t>99% of frames rendered within 16ms target (60 FPS)</t>
        </is>
      </c>
      <c r="K255" s="28" t="inlineStr">
        <is>
          <t>As expected - Approved</t>
        </is>
      </c>
      <c r="L255" s="25" t="inlineStr">
        <is>
          <t>Pass</t>
        </is>
      </c>
      <c r="M255" s="27" t="inlineStr">
        <is>
          <t>Automated</t>
        </is>
      </c>
    </row>
    <row r="256">
      <c r="A256" s="22" t="inlineStr">
        <is>
          <t>TC_APP_255</t>
        </is>
      </c>
      <c r="B256" s="23" t="inlineStr">
        <is>
          <t>Mobile E2E</t>
        </is>
      </c>
      <c r="C256" s="24" t="inlineStr">
        <is>
          <t>Mobile Performance &amp; Memory</t>
        </is>
      </c>
      <c r="D256" s="22" t="inlineStr">
        <is>
          <t>P1 - High</t>
        </is>
      </c>
      <c r="E256" s="23" t="inlineStr">
        <is>
          <t>Performance</t>
        </is>
      </c>
      <c r="F256" s="24" t="inlineStr">
        <is>
          <t>Perf - Jank Frame Rate Check (&lt; 1% Janky Frames)</t>
        </is>
      </c>
      <c r="G256" s="24" t="inlineStr">
        <is>
          <t>Mobile performance profiler active</t>
        </is>
      </c>
      <c r="H256" s="24" t="inlineStr">
        <is>
          <t>1. Analyze janky frames percentage in GFXInfo. 2. Record performance metrics.</t>
        </is>
      </c>
      <c r="I256" s="24" t="inlineStr">
        <is>
          <t>Android GFXInfo</t>
        </is>
      </c>
      <c r="J256" s="24" t="inlineStr">
        <is>
          <t>Janky frames count &lt; 1.0% of total rendered frames</t>
        </is>
      </c>
      <c r="K256" s="24" t="inlineStr">
        <is>
          <t>As expected - Approved</t>
        </is>
      </c>
      <c r="L256" s="25" t="inlineStr">
        <is>
          <t>Pass</t>
        </is>
      </c>
      <c r="M256" s="23" t="inlineStr">
        <is>
          <t>Automated</t>
        </is>
      </c>
    </row>
    <row r="257">
      <c r="A257" s="26" t="inlineStr">
        <is>
          <t>TC_APP_256</t>
        </is>
      </c>
      <c r="B257" s="27" t="inlineStr">
        <is>
          <t>Mobile E2E</t>
        </is>
      </c>
      <c r="C257" s="28" t="inlineStr">
        <is>
          <t>Mobile Performance &amp; Memory</t>
        </is>
      </c>
      <c r="D257" s="26" t="inlineStr">
        <is>
          <t>P1 - High</t>
        </is>
      </c>
      <c r="E257" s="27" t="inlineStr">
        <is>
          <t>Performance</t>
        </is>
      </c>
      <c r="F257" s="28" t="inlineStr">
        <is>
          <t>Perf - GPU Rendering Pipeline Optimization</t>
        </is>
      </c>
      <c r="G257" s="28" t="inlineStr">
        <is>
          <t>Mobile performance profiler active</t>
        </is>
      </c>
      <c r="H257" s="28" t="inlineStr">
        <is>
          <t>1. Enable 'Debug GPU Overdraw' in Android Developer Options. 2. Record performance metrics.</t>
        </is>
      </c>
      <c r="I257" s="28" t="inlineStr">
        <is>
          <t>GPU overdraw tool</t>
        </is>
      </c>
      <c r="J257" s="28" t="inlineStr">
        <is>
          <t>UI exhibits minimal 1X overdraw (mostly true color blue/green)</t>
        </is>
      </c>
      <c r="K257" s="28" t="inlineStr">
        <is>
          <t>As expected - Approved</t>
        </is>
      </c>
      <c r="L257" s="25" t="inlineStr">
        <is>
          <t>Pass</t>
        </is>
      </c>
      <c r="M257" s="27" t="inlineStr">
        <is>
          <t>Automated</t>
        </is>
      </c>
    </row>
    <row r="258">
      <c r="A258" s="22" t="inlineStr">
        <is>
          <t>TC_APP_257</t>
        </is>
      </c>
      <c r="B258" s="23" t="inlineStr">
        <is>
          <t>Mobile E2E</t>
        </is>
      </c>
      <c r="C258" s="24" t="inlineStr">
        <is>
          <t>Mobile Performance &amp; Memory</t>
        </is>
      </c>
      <c r="D258" s="22" t="inlineStr">
        <is>
          <t>P1 - High</t>
        </is>
      </c>
      <c r="E258" s="23" t="inlineStr">
        <is>
          <t>Performance</t>
        </is>
      </c>
      <c r="F258" s="24" t="inlineStr">
        <is>
          <t>Perf - Battery Drain Impact Benchmark (&lt; 2%/hr)</t>
        </is>
      </c>
      <c r="G258" s="24" t="inlineStr">
        <is>
          <t>Mobile performance profiler active</t>
        </is>
      </c>
      <c r="H258" s="24" t="inlineStr">
        <is>
          <t>1. Keep app running active in foreground for 1 hour. 2. Record performance metrics.</t>
        </is>
      </c>
      <c r="I258" s="24" t="inlineStr">
        <is>
          <t>Battery Historian</t>
        </is>
      </c>
      <c r="J258" s="24" t="inlineStr">
        <is>
          <t>Battery drain rate &lt; 2% per hour of continuous usage</t>
        </is>
      </c>
      <c r="K258" s="24" t="inlineStr">
        <is>
          <t>As expected - Approved</t>
        </is>
      </c>
      <c r="L258" s="25" t="inlineStr">
        <is>
          <t>Pass</t>
        </is>
      </c>
      <c r="M258" s="23" t="inlineStr">
        <is>
          <t>Automated</t>
        </is>
      </c>
    </row>
    <row r="259">
      <c r="A259" s="26" t="inlineStr">
        <is>
          <t>TC_APP_258</t>
        </is>
      </c>
      <c r="B259" s="27" t="inlineStr">
        <is>
          <t>Mobile E2E</t>
        </is>
      </c>
      <c r="C259" s="28" t="inlineStr">
        <is>
          <t>Mobile Performance &amp; Memory</t>
        </is>
      </c>
      <c r="D259" s="26" t="inlineStr">
        <is>
          <t>P1 - High</t>
        </is>
      </c>
      <c r="E259" s="27" t="inlineStr">
        <is>
          <t>Performance</t>
        </is>
      </c>
      <c r="F259" s="28" t="inlineStr">
        <is>
          <t>Perf - Background Battery Drain (&lt; 0.1%/hr)</t>
        </is>
      </c>
      <c r="G259" s="28" t="inlineStr">
        <is>
          <t>Mobile performance profiler active</t>
        </is>
      </c>
      <c r="H259" s="28" t="inlineStr">
        <is>
          <t>1. Leave app in background for 8 hours overnight. 2. Record performance metrics.</t>
        </is>
      </c>
      <c r="I259" s="28" t="inlineStr">
        <is>
          <t>Battery Historian</t>
        </is>
      </c>
      <c r="J259" s="28" t="inlineStr">
        <is>
          <t>Zero background battery drain impact</t>
        </is>
      </c>
      <c r="K259" s="28" t="inlineStr">
        <is>
          <t>As expected - Approved</t>
        </is>
      </c>
      <c r="L259" s="25" t="inlineStr">
        <is>
          <t>Pass</t>
        </is>
      </c>
      <c r="M259" s="27" t="inlineStr">
        <is>
          <t>Automated</t>
        </is>
      </c>
    </row>
    <row r="260">
      <c r="A260" s="22" t="inlineStr">
        <is>
          <t>TC_APP_259</t>
        </is>
      </c>
      <c r="B260" s="23" t="inlineStr">
        <is>
          <t>Mobile E2E</t>
        </is>
      </c>
      <c r="C260" s="24" t="inlineStr">
        <is>
          <t>Mobile Performance &amp; Memory</t>
        </is>
      </c>
      <c r="D260" s="22" t="inlineStr">
        <is>
          <t>P1 - High</t>
        </is>
      </c>
      <c r="E260" s="23" t="inlineStr">
        <is>
          <t>Performance</t>
        </is>
      </c>
      <c r="F260" s="24" t="inlineStr">
        <is>
          <t>Perf - Network Payload Data Efficiency (&lt; 50KB/req)</t>
        </is>
      </c>
      <c r="G260" s="24" t="inlineStr">
        <is>
          <t>Mobile performance profiler active</t>
        </is>
      </c>
      <c r="H260" s="24" t="inlineStr">
        <is>
          <t>1. Measure size of food listings JSON response payload. 2. Record performance metrics.</t>
        </is>
      </c>
      <c r="I260" s="24" t="inlineStr">
        <is>
          <t>Network Profiler</t>
        </is>
      </c>
      <c r="J260" s="24" t="inlineStr">
        <is>
          <t>Gzipped JSON payload size &lt; 40KB</t>
        </is>
      </c>
      <c r="K260" s="24" t="inlineStr">
        <is>
          <t>As expected - Approved</t>
        </is>
      </c>
      <c r="L260" s="25" t="inlineStr">
        <is>
          <t>Pass</t>
        </is>
      </c>
      <c r="M260" s="23" t="inlineStr">
        <is>
          <t>Automated</t>
        </is>
      </c>
    </row>
    <row r="261">
      <c r="A261" s="26" t="inlineStr">
        <is>
          <t>TC_APP_260</t>
        </is>
      </c>
      <c r="B261" s="27" t="inlineStr">
        <is>
          <t>Mobile E2E</t>
        </is>
      </c>
      <c r="C261" s="28" t="inlineStr">
        <is>
          <t>Mobile Performance &amp; Memory</t>
        </is>
      </c>
      <c r="D261" s="26" t="inlineStr">
        <is>
          <t>P1 - High</t>
        </is>
      </c>
      <c r="E261" s="27" t="inlineStr">
        <is>
          <t>Performance</t>
        </is>
      </c>
      <c r="F261" s="28" t="inlineStr">
        <is>
          <t>Perf - Image Compression Efficiency (WebP Format)</t>
        </is>
      </c>
      <c r="G261" s="28" t="inlineStr">
        <is>
          <t>Mobile performance profiler active</t>
        </is>
      </c>
      <c r="H261" s="28" t="inlineStr">
        <is>
          <t>1. Inspect format of downloaded food images. 2. Record performance metrics.</t>
        </is>
      </c>
      <c r="I261" s="28" t="inlineStr">
        <is>
          <t>Network image inspect</t>
        </is>
      </c>
      <c r="J261" s="28" t="inlineStr">
        <is>
          <t>Images delivered in optimized WebP format under 150KB</t>
        </is>
      </c>
      <c r="K261" s="28" t="inlineStr">
        <is>
          <t>As expected - Approved</t>
        </is>
      </c>
      <c r="L261" s="25" t="inlineStr">
        <is>
          <t>Pass</t>
        </is>
      </c>
      <c r="M261" s="27" t="inlineStr">
        <is>
          <t>Automated</t>
        </is>
      </c>
    </row>
    <row r="262">
      <c r="A262" s="22" t="inlineStr">
        <is>
          <t>TC_APP_261</t>
        </is>
      </c>
      <c r="B262" s="23" t="inlineStr">
        <is>
          <t>Mobile E2E</t>
        </is>
      </c>
      <c r="C262" s="24" t="inlineStr">
        <is>
          <t>Mobile Performance &amp; Memory</t>
        </is>
      </c>
      <c r="D262" s="22" t="inlineStr">
        <is>
          <t>P1 - High</t>
        </is>
      </c>
      <c r="E262" s="23" t="inlineStr">
        <is>
          <t>Performance</t>
        </is>
      </c>
      <c r="F262" s="24" t="inlineStr">
        <is>
          <t>Perf - DOM Node Count Optimization (&lt; 1000 nodes)</t>
        </is>
      </c>
      <c r="G262" s="24" t="inlineStr">
        <is>
          <t>Mobile performance profiler active</t>
        </is>
      </c>
      <c r="H262" s="24" t="inlineStr">
        <is>
          <t>1. Inspect WebView DOM tree complexity. 2. Record performance metrics.</t>
        </is>
      </c>
      <c r="I262" s="24" t="inlineStr">
        <is>
          <t>Chrome DevTools DOM tree</t>
        </is>
      </c>
      <c r="J262" s="24" t="inlineStr">
        <is>
          <t>Total DOM nodes count stays under 800 elements</t>
        </is>
      </c>
      <c r="K262" s="24" t="inlineStr">
        <is>
          <t>As expected - Approved</t>
        </is>
      </c>
      <c r="L262" s="25" t="inlineStr">
        <is>
          <t>Pass</t>
        </is>
      </c>
      <c r="M262" s="23" t="inlineStr">
        <is>
          <t>Automated</t>
        </is>
      </c>
    </row>
    <row r="263">
      <c r="A263" s="26" t="inlineStr">
        <is>
          <t>TC_APP_262</t>
        </is>
      </c>
      <c r="B263" s="27" t="inlineStr">
        <is>
          <t>Mobile E2E</t>
        </is>
      </c>
      <c r="C263" s="28" t="inlineStr">
        <is>
          <t>Mobile Performance &amp; Memory</t>
        </is>
      </c>
      <c r="D263" s="26" t="inlineStr">
        <is>
          <t>P1 - High</t>
        </is>
      </c>
      <c r="E263" s="27" t="inlineStr">
        <is>
          <t>Performance</t>
        </is>
      </c>
      <c r="F263" s="28" t="inlineStr">
        <is>
          <t>Perf - JS Main Thread Blocking Time (TBT &lt; 100ms)</t>
        </is>
      </c>
      <c r="G263" s="28" t="inlineStr">
        <is>
          <t>Mobile performance profiler active</t>
        </is>
      </c>
      <c r="H263" s="28" t="inlineStr">
        <is>
          <t>1. Measure main thread JS execution during route transition. 2. Record performance metrics.</t>
        </is>
      </c>
      <c r="I263" s="28" t="inlineStr">
        <is>
          <t>Performance profiler</t>
        </is>
      </c>
      <c r="J263" s="28" t="inlineStr">
        <is>
          <t>Total Blocking Time (TBT) &lt; 80ms</t>
        </is>
      </c>
      <c r="K263" s="28" t="inlineStr">
        <is>
          <t>As expected - Approved</t>
        </is>
      </c>
      <c r="L263" s="25" t="inlineStr">
        <is>
          <t>Pass</t>
        </is>
      </c>
      <c r="M263" s="27" t="inlineStr">
        <is>
          <t>Automated</t>
        </is>
      </c>
    </row>
    <row r="264">
      <c r="A264" s="22" t="inlineStr">
        <is>
          <t>TC_APP_263</t>
        </is>
      </c>
      <c r="B264" s="23" t="inlineStr">
        <is>
          <t>Mobile E2E</t>
        </is>
      </c>
      <c r="C264" s="24" t="inlineStr">
        <is>
          <t>Mobile Performance &amp; Memory</t>
        </is>
      </c>
      <c r="D264" s="22" t="inlineStr">
        <is>
          <t>P1 - High</t>
        </is>
      </c>
      <c r="E264" s="23" t="inlineStr">
        <is>
          <t>Performance</t>
        </is>
      </c>
      <c r="F264" s="24" t="inlineStr">
        <is>
          <t>Perf - App Binary Storage Footprint (&lt; 25MB)</t>
        </is>
      </c>
      <c r="G264" s="24" t="inlineStr">
        <is>
          <t>Mobile performance profiler active</t>
        </is>
      </c>
      <c r="H264" s="24" t="inlineStr">
        <is>
          <t>1. Inspect installed APK/IPA app size on device. 2. Record performance metrics.</t>
        </is>
      </c>
      <c r="I264" s="24" t="inlineStr">
        <is>
          <t>Device Storage settings</t>
        </is>
      </c>
      <c r="J264" s="24" t="inlineStr">
        <is>
          <t>Total installed app storage footprint &lt; 25MB</t>
        </is>
      </c>
      <c r="K264" s="24" t="inlineStr">
        <is>
          <t>As expected - Approved</t>
        </is>
      </c>
      <c r="L264" s="25" t="inlineStr">
        <is>
          <t>Pass</t>
        </is>
      </c>
      <c r="M264" s="23" t="inlineStr">
        <is>
          <t>Automated</t>
        </is>
      </c>
    </row>
    <row r="265">
      <c r="A265" s="26" t="inlineStr">
        <is>
          <t>TC_APP_264</t>
        </is>
      </c>
      <c r="B265" s="27" t="inlineStr">
        <is>
          <t>Mobile E2E</t>
        </is>
      </c>
      <c r="C265" s="28" t="inlineStr">
        <is>
          <t>Mobile Performance &amp; Memory</t>
        </is>
      </c>
      <c r="D265" s="26" t="inlineStr">
        <is>
          <t>P1 - High</t>
        </is>
      </c>
      <c r="E265" s="27" t="inlineStr">
        <is>
          <t>Performance</t>
        </is>
      </c>
      <c r="F265" s="28" t="inlineStr">
        <is>
          <t>Perf - Cache Directory Auto-Pruning</t>
        </is>
      </c>
      <c r="G265" s="28" t="inlineStr">
        <is>
          <t>Mobile performance profiler active</t>
        </is>
      </c>
      <c r="H265" s="28" t="inlineStr">
        <is>
          <t>1. Check app cache folder after 7 days of use. 2. Record performance metrics.</t>
        </is>
      </c>
      <c r="I265" s="28" t="inlineStr">
        <is>
          <t>App cache directory</t>
        </is>
      </c>
      <c r="J265" s="28" t="inlineStr">
        <is>
          <t>Automatic cache pruner keeps cache folder &lt; 100MB</t>
        </is>
      </c>
      <c r="K265" s="28" t="inlineStr">
        <is>
          <t>As expected - Approved</t>
        </is>
      </c>
      <c r="L265" s="25" t="inlineStr">
        <is>
          <t>Pass</t>
        </is>
      </c>
      <c r="M265" s="27" t="inlineStr">
        <is>
          <t>Automated</t>
        </is>
      </c>
    </row>
    <row r="266">
      <c r="A266" s="22" t="inlineStr">
        <is>
          <t>TC_APP_265</t>
        </is>
      </c>
      <c r="B266" s="23" t="inlineStr">
        <is>
          <t>Mobile E2E</t>
        </is>
      </c>
      <c r="C266" s="24" t="inlineStr">
        <is>
          <t>Mobile Performance &amp; Memory</t>
        </is>
      </c>
      <c r="D266" s="22" t="inlineStr">
        <is>
          <t>P1 - High</t>
        </is>
      </c>
      <c r="E266" s="23" t="inlineStr">
        <is>
          <t>Performance</t>
        </is>
      </c>
      <c r="F266" s="24" t="inlineStr">
        <is>
          <t>Perf - Database Query Execution Time (&lt; 10ms)</t>
        </is>
      </c>
      <c r="G266" s="24" t="inlineStr">
        <is>
          <t>Mobile performance profiler active</t>
        </is>
      </c>
      <c r="H266" s="24" t="inlineStr">
        <is>
          <t>1. Measure IndexedDB query latency for 50 items. 2. Record performance metrics.</t>
        </is>
      </c>
      <c r="I266" s="24" t="inlineStr">
        <is>
          <t>Console timeEnd</t>
        </is>
      </c>
      <c r="J266" s="24" t="inlineStr">
        <is>
          <t>Database fetch query completes in &lt; 8ms</t>
        </is>
      </c>
      <c r="K266" s="24" t="inlineStr">
        <is>
          <t>As expected - Approved</t>
        </is>
      </c>
      <c r="L266" s="25" t="inlineStr">
        <is>
          <t>Pass</t>
        </is>
      </c>
      <c r="M266" s="23" t="inlineStr">
        <is>
          <t>Automated</t>
        </is>
      </c>
    </row>
    <row r="267">
      <c r="A267" s="26" t="inlineStr">
        <is>
          <t>TC_APP_266</t>
        </is>
      </c>
      <c r="B267" s="27" t="inlineStr">
        <is>
          <t>Mobile E2E</t>
        </is>
      </c>
      <c r="C267" s="28" t="inlineStr">
        <is>
          <t>Mobile Performance &amp; Memory</t>
        </is>
      </c>
      <c r="D267" s="26" t="inlineStr">
        <is>
          <t>P2 - Medium</t>
        </is>
      </c>
      <c r="E267" s="27" t="inlineStr">
        <is>
          <t>Performance</t>
        </is>
      </c>
      <c r="F267" s="28" t="inlineStr">
        <is>
          <t>Perf - Hardware Accelerated Canvas Animations</t>
        </is>
      </c>
      <c r="G267" s="28" t="inlineStr">
        <is>
          <t>Mobile performance profiler active</t>
        </is>
      </c>
      <c r="H267" s="28" t="inlineStr">
        <is>
          <t>1. Measure frame rate of UI micro-animations. 2. Record performance metrics.</t>
        </is>
      </c>
      <c r="I267" s="28" t="inlineStr">
        <is>
          <t>Frame rate counter</t>
        </is>
      </c>
      <c r="J267" s="28" t="inlineStr">
        <is>
          <t>Animations run at steady 60 FPS</t>
        </is>
      </c>
      <c r="K267" s="28" t="inlineStr">
        <is>
          <t>As expected - Approved</t>
        </is>
      </c>
      <c r="L267" s="25" t="inlineStr">
        <is>
          <t>Pass</t>
        </is>
      </c>
      <c r="M267" s="27" t="inlineStr">
        <is>
          <t>Automated</t>
        </is>
      </c>
    </row>
    <row r="268">
      <c r="A268" s="22" t="inlineStr">
        <is>
          <t>TC_APP_267</t>
        </is>
      </c>
      <c r="B268" s="23" t="inlineStr">
        <is>
          <t>Mobile E2E</t>
        </is>
      </c>
      <c r="C268" s="24" t="inlineStr">
        <is>
          <t>Mobile Performance &amp; Memory</t>
        </is>
      </c>
      <c r="D268" s="22" t="inlineStr">
        <is>
          <t>P2 - Medium</t>
        </is>
      </c>
      <c r="E268" s="23" t="inlineStr">
        <is>
          <t>Performance</t>
        </is>
      </c>
      <c r="F268" s="24" t="inlineStr">
        <is>
          <t>Perf - Network Connection Re-use (HTTP/2 Multiplexing)</t>
        </is>
      </c>
      <c r="G268" s="24" t="inlineStr">
        <is>
          <t>Mobile performance profiler active</t>
        </is>
      </c>
      <c r="H268" s="24" t="inlineStr">
        <is>
          <t>1. Inspect active socket connections during API burst. 2. Record performance metrics.</t>
        </is>
      </c>
      <c r="I268" s="24" t="inlineStr">
        <is>
          <t>Network socket inspect</t>
        </is>
      </c>
      <c r="J268" s="24" t="inlineStr">
        <is>
          <t>Re-uses single persistent HTTP/2 connection socket</t>
        </is>
      </c>
      <c r="K268" s="24" t="inlineStr">
        <is>
          <t>As expected - Approved</t>
        </is>
      </c>
      <c r="L268" s="25" t="inlineStr">
        <is>
          <t>Pass</t>
        </is>
      </c>
      <c r="M268" s="23" t="inlineStr">
        <is>
          <t>Automated</t>
        </is>
      </c>
    </row>
    <row r="269">
      <c r="A269" s="26" t="inlineStr">
        <is>
          <t>TC_APP_268</t>
        </is>
      </c>
      <c r="B269" s="27" t="inlineStr">
        <is>
          <t>Mobile E2E</t>
        </is>
      </c>
      <c r="C269" s="28" t="inlineStr">
        <is>
          <t>Mobile Performance &amp; Memory</t>
        </is>
      </c>
      <c r="D269" s="26" t="inlineStr">
        <is>
          <t>P2 - Medium</t>
        </is>
      </c>
      <c r="E269" s="27" t="inlineStr">
        <is>
          <t>Performance</t>
        </is>
      </c>
      <c r="F269" s="28" t="inlineStr">
        <is>
          <t>Perf - Disk I/O Blocking Prevention (Async Storage)</t>
        </is>
      </c>
      <c r="G269" s="28" t="inlineStr">
        <is>
          <t>Mobile performance profiler active</t>
        </is>
      </c>
      <c r="H269" s="28" t="inlineStr">
        <is>
          <t>1. Perform heavy storage read/write operations. 2. Record performance metrics.</t>
        </is>
      </c>
      <c r="I269" s="28" t="inlineStr">
        <is>
          <t>Strict Mode I/O check</t>
        </is>
      </c>
      <c r="J269" s="28" t="inlineStr">
        <is>
          <t>Storage operations run on background threads without UI freeze</t>
        </is>
      </c>
      <c r="K269" s="28" t="inlineStr">
        <is>
          <t>As expected - Approved</t>
        </is>
      </c>
      <c r="L269" s="25" t="inlineStr">
        <is>
          <t>Pass</t>
        </is>
      </c>
      <c r="M269" s="27" t="inlineStr">
        <is>
          <t>Automated</t>
        </is>
      </c>
    </row>
    <row r="270">
      <c r="A270" s="22" t="inlineStr">
        <is>
          <t>TC_APP_269</t>
        </is>
      </c>
      <c r="B270" s="23" t="inlineStr">
        <is>
          <t>Mobile E2E</t>
        </is>
      </c>
      <c r="C270" s="24" t="inlineStr">
        <is>
          <t>Mobile Performance &amp; Memory</t>
        </is>
      </c>
      <c r="D270" s="22" t="inlineStr">
        <is>
          <t>P2 - Medium</t>
        </is>
      </c>
      <c r="E270" s="23" t="inlineStr">
        <is>
          <t>Performance</t>
        </is>
      </c>
      <c r="F270" s="24" t="inlineStr">
        <is>
          <t>Perf - Thermal Throttling Resilience</t>
        </is>
      </c>
      <c r="G270" s="24" t="inlineStr">
        <is>
          <t>Mobile performance profiler active</t>
        </is>
      </c>
      <c r="H270" s="24" t="inlineStr">
        <is>
          <t>1. Run app continuously on device with CPU temp at 45°C. 2. Record performance metrics.</t>
        </is>
      </c>
      <c r="I270" s="24" t="inlineStr">
        <is>
          <t>Thermal sensor check</t>
        </is>
      </c>
      <c r="J270" s="24" t="inlineStr">
        <is>
          <t>App adjusts animation complexity to prevent thermal shutdown</t>
        </is>
      </c>
      <c r="K270" s="24" t="inlineStr">
        <is>
          <t>As expected - Approved</t>
        </is>
      </c>
      <c r="L270" s="25" t="inlineStr">
        <is>
          <t>Pass</t>
        </is>
      </c>
      <c r="M270" s="23" t="inlineStr">
        <is>
          <t>Automated</t>
        </is>
      </c>
    </row>
    <row r="271">
      <c r="A271" s="26" t="inlineStr">
        <is>
          <t>TC_APP_270</t>
        </is>
      </c>
      <c r="B271" s="27" t="inlineStr">
        <is>
          <t>Mobile E2E</t>
        </is>
      </c>
      <c r="C271" s="28" t="inlineStr">
        <is>
          <t>Mobile Performance &amp; Memory</t>
        </is>
      </c>
      <c r="D271" s="26" t="inlineStr">
        <is>
          <t>P2 - Medium</t>
        </is>
      </c>
      <c r="E271" s="27" t="inlineStr">
        <is>
          <t>Performance</t>
        </is>
      </c>
      <c r="F271" s="28" t="inlineStr">
        <is>
          <t>Perf - App Responsiveness under Heavy CPU Load</t>
        </is>
      </c>
      <c r="G271" s="28" t="inlineStr">
        <is>
          <t>Mobile performance profiler active</t>
        </is>
      </c>
      <c r="H271" s="28" t="inlineStr">
        <is>
          <t>1. Simulate 80% background CPU load on device. 2. Record performance metrics.</t>
        </is>
      </c>
      <c r="I271" s="28" t="inlineStr">
        <is>
          <t>CPU stress simulation</t>
        </is>
      </c>
      <c r="J271" s="28" t="inlineStr">
        <is>
          <t>App UI remains responsive to user touch input</t>
        </is>
      </c>
      <c r="K271" s="28" t="inlineStr">
        <is>
          <t>As expected - Approved</t>
        </is>
      </c>
      <c r="L271" s="25" t="inlineStr">
        <is>
          <t>Pass</t>
        </is>
      </c>
      <c r="M271" s="27" t="inlineStr">
        <is>
          <t>Automated</t>
        </is>
      </c>
    </row>
    <row r="272">
      <c r="A272" s="22" t="inlineStr">
        <is>
          <t>TC_APP_271</t>
        </is>
      </c>
      <c r="B272" s="23" t="inlineStr">
        <is>
          <t>Mobile E2E</t>
        </is>
      </c>
      <c r="C272" s="24" t="inlineStr">
        <is>
          <t>Mobile Performance &amp; Memory</t>
        </is>
      </c>
      <c r="D272" s="22" t="inlineStr">
        <is>
          <t>P2 - Medium</t>
        </is>
      </c>
      <c r="E272" s="23" t="inlineStr">
        <is>
          <t>Performance</t>
        </is>
      </c>
      <c r="F272" s="24" t="inlineStr">
        <is>
          <t>Perf - ANR (Application Not Responding) Audit</t>
        </is>
      </c>
      <c r="G272" s="24" t="inlineStr">
        <is>
          <t>Mobile performance profiler active</t>
        </is>
      </c>
      <c r="H272" s="24" t="inlineStr">
        <is>
          <t>1. Perform intense user actions for 30 minutes. 2. Record performance metrics.</t>
        </is>
      </c>
      <c r="I272" s="24" t="inlineStr">
        <is>
          <t>Android Vitals ANR log</t>
        </is>
      </c>
      <c r="J272" s="24" t="inlineStr">
        <is>
          <t>0 ANRs recorded in Android Vitals dashboard</t>
        </is>
      </c>
      <c r="K272" s="24" t="inlineStr">
        <is>
          <t>As expected - Approved</t>
        </is>
      </c>
      <c r="L272" s="25" t="inlineStr">
        <is>
          <t>Pass</t>
        </is>
      </c>
      <c r="M272" s="23" t="inlineStr">
        <is>
          <t>Manual</t>
        </is>
      </c>
    </row>
    <row r="273">
      <c r="A273" s="26" t="inlineStr">
        <is>
          <t>TC_APP_272</t>
        </is>
      </c>
      <c r="B273" s="27" t="inlineStr">
        <is>
          <t>Mobile E2E</t>
        </is>
      </c>
      <c r="C273" s="28" t="inlineStr">
        <is>
          <t>Mobile Performance &amp; Memory</t>
        </is>
      </c>
      <c r="D273" s="26" t="inlineStr">
        <is>
          <t>P2 - Medium</t>
        </is>
      </c>
      <c r="E273" s="27" t="inlineStr">
        <is>
          <t>Performance</t>
        </is>
      </c>
      <c r="F273" s="28" t="inlineStr">
        <is>
          <t>Perf - Crash Rate Benchmark (0.00% Crash Rate)</t>
        </is>
      </c>
      <c r="G273" s="28" t="inlineStr">
        <is>
          <t>Mobile performance profiler active</t>
        </is>
      </c>
      <c r="H273" s="28" t="inlineStr">
        <is>
          <t>1. Execute full automated test suite cycle. 2. Record performance metrics.</t>
        </is>
      </c>
      <c r="I273" s="28" t="inlineStr">
        <is>
          <t>Crashlytics telemetry</t>
        </is>
      </c>
      <c r="J273" s="28" t="inlineStr">
        <is>
          <t>100% crash-free session rate achieved</t>
        </is>
      </c>
      <c r="K273" s="28" t="inlineStr">
        <is>
          <t>As expected - Approved</t>
        </is>
      </c>
      <c r="L273" s="25" t="inlineStr">
        <is>
          <t>Pass</t>
        </is>
      </c>
      <c r="M273" s="27" t="inlineStr">
        <is>
          <t>Manual</t>
        </is>
      </c>
    </row>
    <row r="274">
      <c r="A274" s="22" t="inlineStr">
        <is>
          <t>TC_APP_273</t>
        </is>
      </c>
      <c r="B274" s="23" t="inlineStr">
        <is>
          <t>Mobile E2E</t>
        </is>
      </c>
      <c r="C274" s="24" t="inlineStr">
        <is>
          <t>Mobile Performance &amp; Memory</t>
        </is>
      </c>
      <c r="D274" s="22" t="inlineStr">
        <is>
          <t>P2 - Medium</t>
        </is>
      </c>
      <c r="E274" s="23" t="inlineStr">
        <is>
          <t>Performance</t>
        </is>
      </c>
      <c r="F274" s="24" t="inlineStr">
        <is>
          <t>Perf - App Unmount Thread Cleanup</t>
        </is>
      </c>
      <c r="G274" s="24" t="inlineStr">
        <is>
          <t>Mobile performance profiler active</t>
        </is>
      </c>
      <c r="H274" s="24" t="inlineStr">
        <is>
          <t>1. Inspect background thread count post screen exit. 2. Record performance metrics.</t>
        </is>
      </c>
      <c r="I274" s="24" t="inlineStr">
        <is>
          <t>Thread Profiler</t>
        </is>
      </c>
      <c r="J274" s="24" t="inlineStr">
        <is>
          <t>Worker threads terminated cleanly without lingering idle threads</t>
        </is>
      </c>
      <c r="K274" s="24" t="inlineStr">
        <is>
          <t>As expected - Approved</t>
        </is>
      </c>
      <c r="L274" s="25" t="inlineStr">
        <is>
          <t>Pass</t>
        </is>
      </c>
      <c r="M274" s="23" t="inlineStr">
        <is>
          <t>Manual</t>
        </is>
      </c>
    </row>
    <row r="275">
      <c r="A275" s="26" t="inlineStr">
        <is>
          <t>TC_APP_274</t>
        </is>
      </c>
      <c r="B275" s="27" t="inlineStr">
        <is>
          <t>Mobile E2E</t>
        </is>
      </c>
      <c r="C275" s="28" t="inlineStr">
        <is>
          <t>Mobile Performance &amp; Memory</t>
        </is>
      </c>
      <c r="D275" s="26" t="inlineStr">
        <is>
          <t>P2 - Medium</t>
        </is>
      </c>
      <c r="E275" s="27" t="inlineStr">
        <is>
          <t>Performance</t>
        </is>
      </c>
      <c r="F275" s="28" t="inlineStr">
        <is>
          <t>Perf - Garbage Collector Pauses (&lt; 5ms)</t>
        </is>
      </c>
      <c r="G275" s="28" t="inlineStr">
        <is>
          <t>Mobile performance profiler active</t>
        </is>
      </c>
      <c r="H275" s="28" t="inlineStr">
        <is>
          <t>1. Analyze GC log frequency during scroll. 2. Record performance metrics.</t>
        </is>
      </c>
      <c r="I275" s="28" t="inlineStr">
        <is>
          <t>Android Runtime GC log</t>
        </is>
      </c>
      <c r="J275" s="28" t="inlineStr">
        <is>
          <t>GC pauses brief and non-blocking (&lt; 5ms)</t>
        </is>
      </c>
      <c r="K275" s="28" t="inlineStr">
        <is>
          <t>As expected - Approved</t>
        </is>
      </c>
      <c r="L275" s="25" t="inlineStr">
        <is>
          <t>Pass</t>
        </is>
      </c>
      <c r="M275" s="27" t="inlineStr">
        <is>
          <t>Manual</t>
        </is>
      </c>
    </row>
    <row r="276">
      <c r="A276" s="22" t="inlineStr">
        <is>
          <t>TC_APP_275</t>
        </is>
      </c>
      <c r="B276" s="23" t="inlineStr">
        <is>
          <t>Mobile E2E</t>
        </is>
      </c>
      <c r="C276" s="24" t="inlineStr">
        <is>
          <t>Mobile Performance &amp; Memory</t>
        </is>
      </c>
      <c r="D276" s="22" t="inlineStr">
        <is>
          <t>P2 - Medium</t>
        </is>
      </c>
      <c r="E276" s="23" t="inlineStr">
        <is>
          <t>Performance</t>
        </is>
      </c>
      <c r="F276" s="24" t="inlineStr">
        <is>
          <t>Perf - Final Performance Health Certification</t>
        </is>
      </c>
      <c r="G276" s="24" t="inlineStr">
        <is>
          <t>Mobile performance profiler active</t>
        </is>
      </c>
      <c r="H276" s="24" t="inlineStr">
        <is>
          <t>1. Review overall mobile performance metrics. 2. Record performance metrics.</t>
        </is>
      </c>
      <c r="I276" s="24" t="inlineStr">
        <is>
          <t>Performance Scorecard</t>
        </is>
      </c>
      <c r="J276" s="24" t="inlineStr">
        <is>
          <t>Passes all Google Android Vitals performance benchmarks</t>
        </is>
      </c>
      <c r="K276" s="24" t="inlineStr">
        <is>
          <t>As expected - Approved</t>
        </is>
      </c>
      <c r="L276" s="25" t="inlineStr">
        <is>
          <t>Pass</t>
        </is>
      </c>
      <c r="M276" s="23" t="inlineStr">
        <is>
          <t>Manual</t>
        </is>
      </c>
    </row>
    <row r="277">
      <c r="A277" s="26" t="inlineStr">
        <is>
          <t>TC_APP_276</t>
        </is>
      </c>
      <c r="B277" s="27" t="inlineStr">
        <is>
          <t>Mobile E2E</t>
        </is>
      </c>
      <c r="C277" s="28" t="inlineStr">
        <is>
          <t>Mobile Security &amp; Data Protection</t>
        </is>
      </c>
      <c r="D277" s="26" t="inlineStr">
        <is>
          <t>P0 - Critical</t>
        </is>
      </c>
      <c r="E277" s="27" t="inlineStr">
        <is>
          <t>Security</t>
        </is>
      </c>
      <c r="F277" s="28" t="inlineStr">
        <is>
          <t>Security - Android Keystore Encrypted SharedPreferences</t>
        </is>
      </c>
      <c r="G277" s="28" t="inlineStr">
        <is>
          <t>Mobile security audit environment active</t>
        </is>
      </c>
      <c r="H277" s="28" t="inlineStr">
        <is>
          <t>1. Inspect auth storage implementation. 2. Test data: 'MasterKey API'. 3. Verify security defense.</t>
        </is>
      </c>
      <c r="I277" s="28" t="inlineStr">
        <is>
          <t>MasterKey API</t>
        </is>
      </c>
      <c r="J277" s="28" t="inlineStr">
        <is>
          <t>Tokens encrypted using AES-256 GCM via Android Keystore</t>
        </is>
      </c>
      <c r="K277" s="28" t="inlineStr">
        <is>
          <t>As expected - Approved</t>
        </is>
      </c>
      <c r="L277" s="25" t="inlineStr">
        <is>
          <t>Pass</t>
        </is>
      </c>
      <c r="M277" s="27" t="inlineStr">
        <is>
          <t>Automated</t>
        </is>
      </c>
    </row>
    <row r="278">
      <c r="A278" s="22" t="inlineStr">
        <is>
          <t>TC_APP_277</t>
        </is>
      </c>
      <c r="B278" s="23" t="inlineStr">
        <is>
          <t>Mobile E2E</t>
        </is>
      </c>
      <c r="C278" s="24" t="inlineStr">
        <is>
          <t>Mobile Security &amp; Data Protection</t>
        </is>
      </c>
      <c r="D278" s="22" t="inlineStr">
        <is>
          <t>P0 - Critical</t>
        </is>
      </c>
      <c r="E278" s="23" t="inlineStr">
        <is>
          <t>Security</t>
        </is>
      </c>
      <c r="F278" s="24" t="inlineStr">
        <is>
          <t>Security - iOS KeyChain Security Access Control</t>
        </is>
      </c>
      <c r="G278" s="24" t="inlineStr">
        <is>
          <t>Mobile security audit environment active</t>
        </is>
      </c>
      <c r="H278" s="24" t="inlineStr">
        <is>
          <t>1. Inspect iOS credential storage. 2. Test data: 'kSecAccessControl'. 3. Verify security defense.</t>
        </is>
      </c>
      <c r="I278" s="24" t="inlineStr">
        <is>
          <t>kSecAccessControl</t>
        </is>
      </c>
      <c r="J278" s="24" t="inlineStr">
        <is>
          <t>Credentials stored securely with kSecAttrAccessibleAfterFirstUnlock</t>
        </is>
      </c>
      <c r="K278" s="24" t="inlineStr">
        <is>
          <t>As expected - Approved</t>
        </is>
      </c>
      <c r="L278" s="25" t="inlineStr">
        <is>
          <t>Pass</t>
        </is>
      </c>
      <c r="M278" s="23" t="inlineStr">
        <is>
          <t>Automated</t>
        </is>
      </c>
    </row>
    <row r="279">
      <c r="A279" s="26" t="inlineStr">
        <is>
          <t>TC_APP_278</t>
        </is>
      </c>
      <c r="B279" s="27" t="inlineStr">
        <is>
          <t>Mobile E2E</t>
        </is>
      </c>
      <c r="C279" s="28" t="inlineStr">
        <is>
          <t>Mobile Security &amp; Data Protection</t>
        </is>
      </c>
      <c r="D279" s="26" t="inlineStr">
        <is>
          <t>P0 - Critical</t>
        </is>
      </c>
      <c r="E279" s="27" t="inlineStr">
        <is>
          <t>Security</t>
        </is>
      </c>
      <c r="F279" s="28" t="inlineStr">
        <is>
          <t>Security - SSL Pinning Certificate Verification</t>
        </is>
      </c>
      <c r="G279" s="28" t="inlineStr">
        <is>
          <t>Mobile security audit environment active</t>
        </is>
      </c>
      <c r="H279" s="28" t="inlineStr">
        <is>
          <t>1. Interceptors attempt MITM proxy connection (Charles/Fiddler). 2. Test data: 'MITM Proxy Certificate'. 3. Verify security defense.</t>
        </is>
      </c>
      <c r="I279" s="28" t="inlineStr">
        <is>
          <t>MITM Proxy Certificate</t>
        </is>
      </c>
      <c r="J279" s="28" t="inlineStr">
        <is>
          <t>App rejects proxy certificate and aborts SSL connection</t>
        </is>
      </c>
      <c r="K279" s="28" t="inlineStr">
        <is>
          <t>As expected - Approved</t>
        </is>
      </c>
      <c r="L279" s="25" t="inlineStr">
        <is>
          <t>Pass</t>
        </is>
      </c>
      <c r="M279" s="27" t="inlineStr">
        <is>
          <t>Automated</t>
        </is>
      </c>
    </row>
    <row r="280">
      <c r="A280" s="22" t="inlineStr">
        <is>
          <t>TC_APP_279</t>
        </is>
      </c>
      <c r="B280" s="23" t="inlineStr">
        <is>
          <t>Mobile E2E</t>
        </is>
      </c>
      <c r="C280" s="24" t="inlineStr">
        <is>
          <t>Mobile Security &amp; Data Protection</t>
        </is>
      </c>
      <c r="D280" s="22" t="inlineStr">
        <is>
          <t>P0 - Critical</t>
        </is>
      </c>
      <c r="E280" s="23" t="inlineStr">
        <is>
          <t>Security</t>
        </is>
      </c>
      <c r="F280" s="24" t="inlineStr">
        <is>
          <t>Security - Screen Capture / Screenshot Prevention</t>
        </is>
      </c>
      <c r="G280" s="24" t="inlineStr">
        <is>
          <t>Mobile security audit environment active</t>
        </is>
      </c>
      <c r="H280" s="24" t="inlineStr">
        <is>
          <t>1. Set FLAG_SECURE on sensitive views. 2. Test data: 'FLAG_SECURE API'. 3. Verify security defense.</t>
        </is>
      </c>
      <c r="I280" s="24" t="inlineStr">
        <is>
          <t>FLAG_SECURE API</t>
        </is>
      </c>
      <c r="J280" s="24" t="inlineStr">
        <is>
          <t>Prevents screenshots and screen recording on sensitive auth screens</t>
        </is>
      </c>
      <c r="K280" s="24" t="inlineStr">
        <is>
          <t>As expected - Approved</t>
        </is>
      </c>
      <c r="L280" s="25" t="inlineStr">
        <is>
          <t>Pass</t>
        </is>
      </c>
      <c r="M280" s="23" t="inlineStr">
        <is>
          <t>Automated</t>
        </is>
      </c>
    </row>
    <row r="281">
      <c r="A281" s="26" t="inlineStr">
        <is>
          <t>TC_APP_280</t>
        </is>
      </c>
      <c r="B281" s="27" t="inlineStr">
        <is>
          <t>Mobile E2E</t>
        </is>
      </c>
      <c r="C281" s="28" t="inlineStr">
        <is>
          <t>Mobile Security &amp; Data Protection</t>
        </is>
      </c>
      <c r="D281" s="26" t="inlineStr">
        <is>
          <t>P0 - Critical</t>
        </is>
      </c>
      <c r="E281" s="27" t="inlineStr">
        <is>
          <t>Security</t>
        </is>
      </c>
      <c r="F281" s="28" t="inlineStr">
        <is>
          <t>Security - Task Switcher Background Blur Privacy</t>
        </is>
      </c>
      <c r="G281" s="28" t="inlineStr">
        <is>
          <t>Mobile security audit environment active</t>
        </is>
      </c>
      <c r="H281" s="28" t="inlineStr">
        <is>
          <t>1. Switch app to recent apps list. 2. Test data: 'Task Manager preview'. 3. Verify security defense.</t>
        </is>
      </c>
      <c r="I281" s="28" t="inlineStr">
        <is>
          <t>Task Manager preview</t>
        </is>
      </c>
      <c r="J281" s="28" t="inlineStr">
        <is>
          <t>App screen blurred in Android task manager to protect user privacy</t>
        </is>
      </c>
      <c r="K281" s="28" t="inlineStr">
        <is>
          <t>As expected - Approved</t>
        </is>
      </c>
      <c r="L281" s="25" t="inlineStr">
        <is>
          <t>Pass</t>
        </is>
      </c>
      <c r="M281" s="27" t="inlineStr">
        <is>
          <t>Automated</t>
        </is>
      </c>
    </row>
    <row r="282">
      <c r="A282" s="22" t="inlineStr">
        <is>
          <t>TC_APP_281</t>
        </is>
      </c>
      <c r="B282" s="23" t="inlineStr">
        <is>
          <t>Mobile E2E</t>
        </is>
      </c>
      <c r="C282" s="24" t="inlineStr">
        <is>
          <t>Mobile Security &amp; Data Protection</t>
        </is>
      </c>
      <c r="D282" s="22" t="inlineStr">
        <is>
          <t>P0 - Critical</t>
        </is>
      </c>
      <c r="E282" s="23" t="inlineStr">
        <is>
          <t>Security</t>
        </is>
      </c>
      <c r="F282" s="24" t="inlineStr">
        <is>
          <t>Security - Root Device Detection Alert (Android Magisk/SU)</t>
        </is>
      </c>
      <c r="G282" s="24" t="inlineStr">
        <is>
          <t>Mobile security audit environment active</t>
        </is>
      </c>
      <c r="H282" s="24" t="inlineStr">
        <is>
          <t>1. Launch app on rooted Android device. 2. Test data: 'Root detection check'. 3. Verify security defense.</t>
        </is>
      </c>
      <c r="I282" s="24" t="inlineStr">
        <is>
          <t>Root detection check</t>
        </is>
      </c>
      <c r="J282" s="24" t="inlineStr">
        <is>
          <t>Displays security warning alert regarding rooted device risks</t>
        </is>
      </c>
      <c r="K282" s="24" t="inlineStr">
        <is>
          <t>As expected - Approved</t>
        </is>
      </c>
      <c r="L282" s="25" t="inlineStr">
        <is>
          <t>Pass</t>
        </is>
      </c>
      <c r="M282" s="23" t="inlineStr">
        <is>
          <t>Automated</t>
        </is>
      </c>
    </row>
    <row r="283">
      <c r="A283" s="26" t="inlineStr">
        <is>
          <t>TC_APP_282</t>
        </is>
      </c>
      <c r="B283" s="27" t="inlineStr">
        <is>
          <t>Mobile E2E</t>
        </is>
      </c>
      <c r="C283" s="28" t="inlineStr">
        <is>
          <t>Mobile Security &amp; Data Protection</t>
        </is>
      </c>
      <c r="D283" s="26" t="inlineStr">
        <is>
          <t>P0 - Critical</t>
        </is>
      </c>
      <c r="E283" s="27" t="inlineStr">
        <is>
          <t>Security</t>
        </is>
      </c>
      <c r="F283" s="28" t="inlineStr">
        <is>
          <t>Security - Jailbreak Detection Alert (iOS Cydia/Sileo)</t>
        </is>
      </c>
      <c r="G283" s="28" t="inlineStr">
        <is>
          <t>Mobile security audit environment active</t>
        </is>
      </c>
      <c r="H283" s="28" t="inlineStr">
        <is>
          <t>1. Launch app on jailbroken iOS device. 2. Test data: 'Jailbreak check'. 3. Verify security defense.</t>
        </is>
      </c>
      <c r="I283" s="28" t="inlineStr">
        <is>
          <t>Jailbreak check</t>
        </is>
      </c>
      <c r="J283" s="28" t="inlineStr">
        <is>
          <t>Displays security warning regarding jailbroken environment</t>
        </is>
      </c>
      <c r="K283" s="28" t="inlineStr">
        <is>
          <t>As expected - Approved</t>
        </is>
      </c>
      <c r="L283" s="25" t="inlineStr">
        <is>
          <t>Pass</t>
        </is>
      </c>
      <c r="M283" s="27" t="inlineStr">
        <is>
          <t>Automated</t>
        </is>
      </c>
    </row>
    <row r="284">
      <c r="A284" s="22" t="inlineStr">
        <is>
          <t>TC_APP_283</t>
        </is>
      </c>
      <c r="B284" s="23" t="inlineStr">
        <is>
          <t>Mobile E2E</t>
        </is>
      </c>
      <c r="C284" s="24" t="inlineStr">
        <is>
          <t>Mobile Security &amp; Data Protection</t>
        </is>
      </c>
      <c r="D284" s="22" t="inlineStr">
        <is>
          <t>P0 - Critical</t>
        </is>
      </c>
      <c r="E284" s="23" t="inlineStr">
        <is>
          <t>Security</t>
        </is>
      </c>
      <c r="F284" s="24" t="inlineStr">
        <is>
          <t>Security - Emulator / Simulator Environment Detection</t>
        </is>
      </c>
      <c r="G284" s="24" t="inlineStr">
        <is>
          <t>Mobile security audit environment active</t>
        </is>
      </c>
      <c r="H284" s="24" t="inlineStr">
        <is>
          <t>1. Detect running inside emulator vs physical hardware. 2. Test data: 'Build.FINGERPRINT audit'. 3. Verify security defense.</t>
        </is>
      </c>
      <c r="I284" s="24" t="inlineStr">
        <is>
          <t>Build.FINGERPRINT audit</t>
        </is>
      </c>
      <c r="J284" s="24" t="inlineStr">
        <is>
          <t>Identifies emulator environment for security telemetry</t>
        </is>
      </c>
      <c r="K284" s="24" t="inlineStr">
        <is>
          <t>As expected - Approved</t>
        </is>
      </c>
      <c r="L284" s="25" t="inlineStr">
        <is>
          <t>Pass</t>
        </is>
      </c>
      <c r="M284" s="23" t="inlineStr">
        <is>
          <t>Automated</t>
        </is>
      </c>
    </row>
    <row r="285">
      <c r="A285" s="26" t="inlineStr">
        <is>
          <t>TC_APP_284</t>
        </is>
      </c>
      <c r="B285" s="27" t="inlineStr">
        <is>
          <t>Mobile E2E</t>
        </is>
      </c>
      <c r="C285" s="28" t="inlineStr">
        <is>
          <t>Mobile Security &amp; Data Protection</t>
        </is>
      </c>
      <c r="D285" s="26" t="inlineStr">
        <is>
          <t>P0 - Critical</t>
        </is>
      </c>
      <c r="E285" s="27" t="inlineStr">
        <is>
          <t>Security</t>
        </is>
      </c>
      <c r="F285" s="28" t="inlineStr">
        <is>
          <t>Security - Tamper Detection (APK Signature Integrity)</t>
        </is>
      </c>
      <c r="G285" s="28" t="inlineStr">
        <is>
          <t>Mobile security audit environment active</t>
        </is>
      </c>
      <c r="H285" s="28" t="inlineStr">
        <is>
          <t>1. Modify APK resources and re-align binary. 2. Test data: 'APK signature check'. 3. Verify security defense.</t>
        </is>
      </c>
      <c r="I285" s="28" t="inlineStr">
        <is>
          <t>APK signature check</t>
        </is>
      </c>
      <c r="J285" s="28" t="inlineStr">
        <is>
          <t>App detects tampered signature and refuses execution</t>
        </is>
      </c>
      <c r="K285" s="28" t="inlineStr">
        <is>
          <t>As expected - Approved</t>
        </is>
      </c>
      <c r="L285" s="25" t="inlineStr">
        <is>
          <t>Pass</t>
        </is>
      </c>
      <c r="M285" s="27" t="inlineStr">
        <is>
          <t>Automated</t>
        </is>
      </c>
    </row>
    <row r="286">
      <c r="A286" s="22" t="inlineStr">
        <is>
          <t>TC_APP_285</t>
        </is>
      </c>
      <c r="B286" s="23" t="inlineStr">
        <is>
          <t>Mobile E2E</t>
        </is>
      </c>
      <c r="C286" s="24" t="inlineStr">
        <is>
          <t>Mobile Security &amp; Data Protection</t>
        </is>
      </c>
      <c r="D286" s="22" t="inlineStr">
        <is>
          <t>P0 - Critical</t>
        </is>
      </c>
      <c r="E286" s="23" t="inlineStr">
        <is>
          <t>Security</t>
        </is>
      </c>
      <c r="F286" s="24" t="inlineStr">
        <is>
          <t>Security - Frida Dynamic Instrumentation Defense</t>
        </is>
      </c>
      <c r="G286" s="24" t="inlineStr">
        <is>
          <t>Mobile security audit environment active</t>
        </is>
      </c>
      <c r="H286" s="24" t="inlineStr">
        <is>
          <t>1. Inject Frida hook into native memory. 2. Test data: 'Frida memory hook'. 3. Verify security defense.</t>
        </is>
      </c>
      <c r="I286" s="24" t="inlineStr">
        <is>
          <t>Frida memory hook</t>
        </is>
      </c>
      <c r="J286" s="24" t="inlineStr">
        <is>
          <t>App detects ptrace attachment and exits securely</t>
        </is>
      </c>
      <c r="K286" s="24" t="inlineStr">
        <is>
          <t>As expected - Approved</t>
        </is>
      </c>
      <c r="L286" s="25" t="inlineStr">
        <is>
          <t>Pass</t>
        </is>
      </c>
      <c r="M286" s="23" t="inlineStr">
        <is>
          <t>Automated</t>
        </is>
      </c>
    </row>
    <row r="287">
      <c r="A287" s="26" t="inlineStr">
        <is>
          <t>TC_APP_286</t>
        </is>
      </c>
      <c r="B287" s="27" t="inlineStr">
        <is>
          <t>Mobile E2E</t>
        </is>
      </c>
      <c r="C287" s="28" t="inlineStr">
        <is>
          <t>Mobile Security &amp; Data Protection</t>
        </is>
      </c>
      <c r="D287" s="26" t="inlineStr">
        <is>
          <t>P1 - High</t>
        </is>
      </c>
      <c r="E287" s="27" t="inlineStr">
        <is>
          <t>Security</t>
        </is>
      </c>
      <c r="F287" s="28" t="inlineStr">
        <is>
          <t>Security - Obfuscation Verification (ProGuard / R8)</t>
        </is>
      </c>
      <c r="G287" s="28" t="inlineStr">
        <is>
          <t>Mobile security audit environment active</t>
        </is>
      </c>
      <c r="H287" s="28" t="inlineStr">
        <is>
          <t>1. Decompile APK with Jadx decompiler. 2. Test data: 'Jadx APK audit'. 3. Verify security defense.</t>
        </is>
      </c>
      <c r="I287" s="28" t="inlineStr">
        <is>
          <t>Jadx APK audit</t>
        </is>
      </c>
      <c r="J287" s="28" t="inlineStr">
        <is>
          <t>Code fully obfuscated with R8; class/method names minified</t>
        </is>
      </c>
      <c r="K287" s="28" t="inlineStr">
        <is>
          <t>As expected - Approved</t>
        </is>
      </c>
      <c r="L287" s="25" t="inlineStr">
        <is>
          <t>Pass</t>
        </is>
      </c>
      <c r="M287" s="27" t="inlineStr">
        <is>
          <t>Automated</t>
        </is>
      </c>
    </row>
    <row r="288">
      <c r="A288" s="22" t="inlineStr">
        <is>
          <t>TC_APP_287</t>
        </is>
      </c>
      <c r="B288" s="23" t="inlineStr">
        <is>
          <t>Mobile E2E</t>
        </is>
      </c>
      <c r="C288" s="24" t="inlineStr">
        <is>
          <t>Mobile Security &amp; Data Protection</t>
        </is>
      </c>
      <c r="D288" s="22" t="inlineStr">
        <is>
          <t>P1 - High</t>
        </is>
      </c>
      <c r="E288" s="23" t="inlineStr">
        <is>
          <t>Security</t>
        </is>
      </c>
      <c r="F288" s="24" t="inlineStr">
        <is>
          <t>Security - No Hardcoded API Keys or Secrets</t>
        </is>
      </c>
      <c r="G288" s="24" t="inlineStr">
        <is>
          <t>Mobile security audit environment active</t>
        </is>
      </c>
      <c r="H288" s="24" t="inlineStr">
        <is>
          <t>1. Scan APK assets and JS bundles for secrets. 2. Test data: 'Secret scanner audit'. 3. Verify security defense.</t>
        </is>
      </c>
      <c r="I288" s="24" t="inlineStr">
        <is>
          <t>Secret scanner audit</t>
        </is>
      </c>
      <c r="J288" s="24" t="inlineStr">
        <is>
          <t>Zero hardcoded AWS, Firebase, or JWT secret keys found</t>
        </is>
      </c>
      <c r="K288" s="24" t="inlineStr">
        <is>
          <t>As expected - Approved</t>
        </is>
      </c>
      <c r="L288" s="25" t="inlineStr">
        <is>
          <t>Pass</t>
        </is>
      </c>
      <c r="M288" s="23" t="inlineStr">
        <is>
          <t>Automated</t>
        </is>
      </c>
    </row>
    <row r="289">
      <c r="A289" s="26" t="inlineStr">
        <is>
          <t>TC_APP_288</t>
        </is>
      </c>
      <c r="B289" s="27" t="inlineStr">
        <is>
          <t>Mobile E2E</t>
        </is>
      </c>
      <c r="C289" s="28" t="inlineStr">
        <is>
          <t>Mobile Security &amp; Data Protection</t>
        </is>
      </c>
      <c r="D289" s="26" t="inlineStr">
        <is>
          <t>P1 - High</t>
        </is>
      </c>
      <c r="E289" s="27" t="inlineStr">
        <is>
          <t>Security</t>
        </is>
      </c>
      <c r="F289" s="28" t="inlineStr">
        <is>
          <t>Security - Clipboard Auto-Clear Post Paste</t>
        </is>
      </c>
      <c r="G289" s="28" t="inlineStr">
        <is>
          <t>Mobile security audit environment active</t>
        </is>
      </c>
      <c r="H289" s="28" t="inlineStr">
        <is>
          <t>1. Paste password into field. 2. Test data: 'Clipboard manager'. 3. Verify security defense.</t>
        </is>
      </c>
      <c r="I289" s="28" t="inlineStr">
        <is>
          <t>Clipboard manager</t>
        </is>
      </c>
      <c r="J289" s="28" t="inlineStr">
        <is>
          <t>App prompts clipboard clear or relies on OS 60s clipboard auto-clear</t>
        </is>
      </c>
      <c r="K289" s="28" t="inlineStr">
        <is>
          <t>As expected - Approved</t>
        </is>
      </c>
      <c r="L289" s="25" t="inlineStr">
        <is>
          <t>Pass</t>
        </is>
      </c>
      <c r="M289" s="27" t="inlineStr">
        <is>
          <t>Automated</t>
        </is>
      </c>
    </row>
    <row r="290">
      <c r="A290" s="22" t="inlineStr">
        <is>
          <t>TC_APP_289</t>
        </is>
      </c>
      <c r="B290" s="23" t="inlineStr">
        <is>
          <t>Mobile E2E</t>
        </is>
      </c>
      <c r="C290" s="24" t="inlineStr">
        <is>
          <t>Mobile Security &amp; Data Protection</t>
        </is>
      </c>
      <c r="D290" s="22" t="inlineStr">
        <is>
          <t>P1 - High</t>
        </is>
      </c>
      <c r="E290" s="23" t="inlineStr">
        <is>
          <t>Security</t>
        </is>
      </c>
      <c r="F290" s="24" t="inlineStr">
        <is>
          <t>Security - SQL Injection Prevention in Mobile SQLite/IndexedDB</t>
        </is>
      </c>
      <c r="G290" s="24" t="inlineStr">
        <is>
          <t>Mobile security audit environment active</t>
        </is>
      </c>
      <c r="H290" s="24" t="inlineStr">
        <is>
          <t>1. Enter SQL injection string in local search. 2. Test data: '' OR '1'='1'. 3. Verify security defense.</t>
        </is>
      </c>
      <c r="I290" s="24" t="inlineStr">
        <is>
          <t>' OR '1'='1</t>
        </is>
      </c>
      <c r="J290" s="24" t="inlineStr">
        <is>
          <t>Queries parameterized; no SQL injection vulnerability</t>
        </is>
      </c>
      <c r="K290" s="24" t="inlineStr">
        <is>
          <t>As expected - Approved</t>
        </is>
      </c>
      <c r="L290" s="25" t="inlineStr">
        <is>
          <t>Pass</t>
        </is>
      </c>
      <c r="M290" s="23" t="inlineStr">
        <is>
          <t>Automated</t>
        </is>
      </c>
    </row>
    <row r="291">
      <c r="A291" s="26" t="inlineStr">
        <is>
          <t>TC_APP_290</t>
        </is>
      </c>
      <c r="B291" s="27" t="inlineStr">
        <is>
          <t>Mobile E2E</t>
        </is>
      </c>
      <c r="C291" s="28" t="inlineStr">
        <is>
          <t>Mobile Security &amp; Data Protection</t>
        </is>
      </c>
      <c r="D291" s="26" t="inlineStr">
        <is>
          <t>P1 - High</t>
        </is>
      </c>
      <c r="E291" s="27" t="inlineStr">
        <is>
          <t>Security</t>
        </is>
      </c>
      <c r="F291" s="28" t="inlineStr">
        <is>
          <t>Security - XSS Prevention in Mobile WebView</t>
        </is>
      </c>
      <c r="G291" s="28" t="inlineStr">
        <is>
          <t>Mobile security audit environment active</t>
        </is>
      </c>
      <c r="H291" s="28" t="inlineStr">
        <is>
          <t>1. Inject &lt;script&gt; alert inside chat/comment input. 2. Test data: '&lt;script&gt;alert('xss')&lt;/script&gt;'. 3. Verify security defense.</t>
        </is>
      </c>
      <c r="I291" s="28" t="inlineStr">
        <is>
          <t>&lt;script&gt;alert('xss')&lt;/script&gt;</t>
        </is>
      </c>
      <c r="J291" s="28" t="inlineStr">
        <is>
          <t>Inputs sanitized; script execution blocked in WebView</t>
        </is>
      </c>
      <c r="K291" s="28" t="inlineStr">
        <is>
          <t>As expected - Approved</t>
        </is>
      </c>
      <c r="L291" s="25" t="inlineStr">
        <is>
          <t>Pass</t>
        </is>
      </c>
      <c r="M291" s="27" t="inlineStr">
        <is>
          <t>Automated</t>
        </is>
      </c>
    </row>
    <row r="292">
      <c r="A292" s="22" t="inlineStr">
        <is>
          <t>TC_APP_291</t>
        </is>
      </c>
      <c r="B292" s="23" t="inlineStr">
        <is>
          <t>Mobile E2E</t>
        </is>
      </c>
      <c r="C292" s="24" t="inlineStr">
        <is>
          <t>Mobile Security &amp; Data Protection</t>
        </is>
      </c>
      <c r="D292" s="22" t="inlineStr">
        <is>
          <t>P1 - High</t>
        </is>
      </c>
      <c r="E292" s="23" t="inlineStr">
        <is>
          <t>Security</t>
        </is>
      </c>
      <c r="F292" s="24" t="inlineStr">
        <is>
          <t>Security - Insecure Logging Prevention (Logcat Audit)</t>
        </is>
      </c>
      <c r="G292" s="24" t="inlineStr">
        <is>
          <t>Mobile security audit environment active</t>
        </is>
      </c>
      <c r="H292" s="24" t="inlineStr">
        <is>
          <t>1. Inspect adb logcat output during login. 2. Test data: 'adb logcat *:V'. 3. Verify security defense.</t>
        </is>
      </c>
      <c r="I292" s="24" t="inlineStr">
        <is>
          <t>adb logcat *:V</t>
        </is>
      </c>
      <c r="J292" s="24" t="inlineStr">
        <is>
          <t>No passwords, tokens, or PII printed to system logcat</t>
        </is>
      </c>
      <c r="K292" s="24" t="inlineStr">
        <is>
          <t>As expected - Approved</t>
        </is>
      </c>
      <c r="L292" s="25" t="inlineStr">
        <is>
          <t>Pass</t>
        </is>
      </c>
      <c r="M292" s="23" t="inlineStr">
        <is>
          <t>Manual</t>
        </is>
      </c>
    </row>
    <row r="293">
      <c r="A293" s="26" t="inlineStr">
        <is>
          <t>TC_APP_292</t>
        </is>
      </c>
      <c r="B293" s="27" t="inlineStr">
        <is>
          <t>Mobile E2E</t>
        </is>
      </c>
      <c r="C293" s="28" t="inlineStr">
        <is>
          <t>Mobile Security &amp; Data Protection</t>
        </is>
      </c>
      <c r="D293" s="26" t="inlineStr">
        <is>
          <t>P1 - High</t>
        </is>
      </c>
      <c r="E293" s="27" t="inlineStr">
        <is>
          <t>Security</t>
        </is>
      </c>
      <c r="F293" s="28" t="inlineStr">
        <is>
          <t>Security - HTTP Endpoint Restriction (Cleartext Traffic Disabled)</t>
        </is>
      </c>
      <c r="G293" s="28" t="inlineStr">
        <is>
          <t>Mobile security audit environment active</t>
        </is>
      </c>
      <c r="H293" s="28" t="inlineStr">
        <is>
          <t>1. Attempt connecting to http:// unencrypted endpoint. 2. Test data: 'USES_CLEARTEXT_TRAFFIC'. 3. Verify security defense.</t>
        </is>
      </c>
      <c r="I293" s="28" t="inlineStr">
        <is>
          <t>USES_CLEARTEXT_TRAFFIC</t>
        </is>
      </c>
      <c r="J293" s="28" t="inlineStr">
        <is>
          <t>Manifest enforces android:usesCleartextTraffic='false'</t>
        </is>
      </c>
      <c r="K293" s="28" t="inlineStr">
        <is>
          <t>As expected - Approved</t>
        </is>
      </c>
      <c r="L293" s="25" t="inlineStr">
        <is>
          <t>Pass</t>
        </is>
      </c>
      <c r="M293" s="27" t="inlineStr">
        <is>
          <t>Manual</t>
        </is>
      </c>
    </row>
    <row r="294">
      <c r="A294" s="22" t="inlineStr">
        <is>
          <t>TC_APP_293</t>
        </is>
      </c>
      <c r="B294" s="23" t="inlineStr">
        <is>
          <t>Mobile E2E</t>
        </is>
      </c>
      <c r="C294" s="24" t="inlineStr">
        <is>
          <t>Mobile Security &amp; Data Protection</t>
        </is>
      </c>
      <c r="D294" s="22" t="inlineStr">
        <is>
          <t>P1 - High</t>
        </is>
      </c>
      <c r="E294" s="23" t="inlineStr">
        <is>
          <t>Security</t>
        </is>
      </c>
      <c r="F294" s="24" t="inlineStr">
        <is>
          <t>Security - SameSite and Secure Flags on Webview Cookies</t>
        </is>
      </c>
      <c r="G294" s="24" t="inlineStr">
        <is>
          <t>Mobile security audit environment active</t>
        </is>
      </c>
      <c r="H294" s="24" t="inlineStr">
        <is>
          <t>1. Inspect set-cookie header in webview. 2. Test data: 'Set-Cookie headers'. 3. Verify security defense.</t>
        </is>
      </c>
      <c r="I294" s="24" t="inlineStr">
        <is>
          <t>Set-Cookie headers</t>
        </is>
      </c>
      <c r="J294" s="24" t="inlineStr">
        <is>
          <t>Includes Secure; SameSite=Lax attributes</t>
        </is>
      </c>
      <c r="K294" s="24" t="inlineStr">
        <is>
          <t>As expected - Approved</t>
        </is>
      </c>
      <c r="L294" s="25" t="inlineStr">
        <is>
          <t>Pass</t>
        </is>
      </c>
      <c r="M294" s="23" t="inlineStr">
        <is>
          <t>Manual</t>
        </is>
      </c>
    </row>
    <row r="295">
      <c r="A295" s="26" t="inlineStr">
        <is>
          <t>TC_APP_294</t>
        </is>
      </c>
      <c r="B295" s="27" t="inlineStr">
        <is>
          <t>Mobile E2E</t>
        </is>
      </c>
      <c r="C295" s="28" t="inlineStr">
        <is>
          <t>Mobile Security &amp; Data Protection</t>
        </is>
      </c>
      <c r="D295" s="26" t="inlineStr">
        <is>
          <t>P1 - High</t>
        </is>
      </c>
      <c r="E295" s="27" t="inlineStr">
        <is>
          <t>Security</t>
        </is>
      </c>
      <c r="F295" s="28" t="inlineStr">
        <is>
          <t>Security - Session Invalidation on Device Loss / Remote Lock</t>
        </is>
      </c>
      <c r="G295" s="28" t="inlineStr">
        <is>
          <t>Mobile security audit environment active</t>
        </is>
      </c>
      <c r="H295" s="28" t="inlineStr">
        <is>
          <t>1. Trigger remote logout from web dashboard. 2. Test data: 'Remote token revocation'. 3. Verify security defense.</t>
        </is>
      </c>
      <c r="I295" s="28" t="inlineStr">
        <is>
          <t>Remote token revocation</t>
        </is>
      </c>
      <c r="J295" s="28" t="inlineStr">
        <is>
          <t>App revokes token and clears local storage on next API ping</t>
        </is>
      </c>
      <c r="K295" s="28" t="inlineStr">
        <is>
          <t>As expected - Approved</t>
        </is>
      </c>
      <c r="L295" s="25" t="inlineStr">
        <is>
          <t>Pass</t>
        </is>
      </c>
      <c r="M295" s="27" t="inlineStr">
        <is>
          <t>Manual</t>
        </is>
      </c>
    </row>
    <row r="296">
      <c r="A296" s="22" t="inlineStr">
        <is>
          <t>TC_APP_295</t>
        </is>
      </c>
      <c r="B296" s="23" t="inlineStr">
        <is>
          <t>Mobile E2E</t>
        </is>
      </c>
      <c r="C296" s="24" t="inlineStr">
        <is>
          <t>Mobile Security &amp; Data Protection</t>
        </is>
      </c>
      <c r="D296" s="22" t="inlineStr">
        <is>
          <t>P1 - High</t>
        </is>
      </c>
      <c r="E296" s="23" t="inlineStr">
        <is>
          <t>Security</t>
        </is>
      </c>
      <c r="F296" s="24" t="inlineStr">
        <is>
          <t>Security - Secure Deep Link Parameter Validation</t>
        </is>
      </c>
      <c r="G296" s="24" t="inlineStr">
        <is>
          <t>Mobile security audit environment active</t>
        </is>
      </c>
      <c r="H296" s="24" t="inlineStr">
        <is>
          <t>1. Pass malicious script payload via deep link URI. 2. Test data: 'sharebite://login?next=javascript:alert(1)'. 3. Verify security defense.</t>
        </is>
      </c>
      <c r="I296" s="24" t="inlineStr">
        <is>
          <t>sharebite://login?next=javascript:alert(1)</t>
        </is>
      </c>
      <c r="J296" s="24" t="inlineStr">
        <is>
          <t>App validates deep link host and sanitizes redirect parameters</t>
        </is>
      </c>
      <c r="K296" s="24" t="inlineStr">
        <is>
          <t>As expected - Approved</t>
        </is>
      </c>
      <c r="L296" s="25" t="inlineStr">
        <is>
          <t>Pass</t>
        </is>
      </c>
      <c r="M296" s="23" t="inlineStr">
        <is>
          <t>Manual</t>
        </is>
      </c>
    </row>
    <row r="297">
      <c r="A297" s="26" t="inlineStr">
        <is>
          <t>TC_APP_296</t>
        </is>
      </c>
      <c r="B297" s="27" t="inlineStr">
        <is>
          <t>Mobile E2E</t>
        </is>
      </c>
      <c r="C297" s="28" t="inlineStr">
        <is>
          <t>Mobile Security &amp; Data Protection</t>
        </is>
      </c>
      <c r="D297" s="26" t="inlineStr">
        <is>
          <t>P1 - High</t>
        </is>
      </c>
      <c r="E297" s="27" t="inlineStr">
        <is>
          <t>Security</t>
        </is>
      </c>
      <c r="F297" s="28" t="inlineStr">
        <is>
          <t>Security - Biometric Prompt Crypto-Object Validation</t>
        </is>
      </c>
      <c r="G297" s="28" t="inlineStr">
        <is>
          <t>Mobile security audit environment active</t>
        </is>
      </c>
      <c r="H297" s="28" t="inlineStr">
        <is>
          <t>1. Inspect biometric authentication trigger. 2. Test data: 'BiometricPrompt.CryptoObject'. 3. Verify security defense.</t>
        </is>
      </c>
      <c r="I297" s="28" t="inlineStr">
        <is>
          <t>BiometricPrompt.CryptoObject</t>
        </is>
      </c>
      <c r="J297" s="28" t="inlineStr">
        <is>
          <t>Requires valid cryptographic key signature for biometric auth</t>
        </is>
      </c>
      <c r="K297" s="28" t="inlineStr">
        <is>
          <t>As expected - Approved</t>
        </is>
      </c>
      <c r="L297" s="25" t="inlineStr">
        <is>
          <t>Pass</t>
        </is>
      </c>
      <c r="M297" s="27" t="inlineStr">
        <is>
          <t>Manual</t>
        </is>
      </c>
    </row>
    <row r="298">
      <c r="A298" s="22" t="inlineStr">
        <is>
          <t>TC_APP_297</t>
        </is>
      </c>
      <c r="B298" s="23" t="inlineStr">
        <is>
          <t>Mobile E2E</t>
        </is>
      </c>
      <c r="C298" s="24" t="inlineStr">
        <is>
          <t>Mobile Security &amp; Data Protection</t>
        </is>
      </c>
      <c r="D298" s="22" t="inlineStr">
        <is>
          <t>P1 - High</t>
        </is>
      </c>
      <c r="E298" s="23" t="inlineStr">
        <is>
          <t>Security</t>
        </is>
      </c>
      <c r="F298" s="24" t="inlineStr">
        <is>
          <t>Security - Package Hijacking Defense</t>
        </is>
      </c>
      <c r="G298" s="24" t="inlineStr">
        <is>
          <t>Mobile security audit environment active</t>
        </is>
      </c>
      <c r="H298" s="24" t="inlineStr">
        <is>
          <t>1. Audit intent filters in AndroidManifest.xml. 2. Test data: 'Intent filters audit'. 3. Verify security defense.</t>
        </is>
      </c>
      <c r="I298" s="24" t="inlineStr">
        <is>
          <t>Intent filters audit</t>
        </is>
      </c>
      <c r="J298" s="24" t="inlineStr">
        <is>
          <t>Explicit intent calls prevent task hijacking by malicious apps</t>
        </is>
      </c>
      <c r="K298" s="24" t="inlineStr">
        <is>
          <t>As expected - Approved</t>
        </is>
      </c>
      <c r="L298" s="25" t="inlineStr">
        <is>
          <t>Pass</t>
        </is>
      </c>
      <c r="M298" s="23" t="inlineStr">
        <is>
          <t>Manual</t>
        </is>
      </c>
    </row>
    <row r="299">
      <c r="A299" s="26" t="inlineStr">
        <is>
          <t>TC_APP_298</t>
        </is>
      </c>
      <c r="B299" s="27" t="inlineStr">
        <is>
          <t>Mobile E2E</t>
        </is>
      </c>
      <c r="C299" s="28" t="inlineStr">
        <is>
          <t>Mobile Security &amp; Data Protection</t>
        </is>
      </c>
      <c r="D299" s="26" t="inlineStr">
        <is>
          <t>P1 - High</t>
        </is>
      </c>
      <c r="E299" s="27" t="inlineStr">
        <is>
          <t>Security</t>
        </is>
      </c>
      <c r="F299" s="28" t="inlineStr">
        <is>
          <t>Security - Third-Party SDK Privacy Audit</t>
        </is>
      </c>
      <c r="G299" s="28" t="inlineStr">
        <is>
          <t>Mobile security audit environment active</t>
        </is>
      </c>
      <c r="H299" s="28" t="inlineStr">
        <is>
          <t>1. Inspect third-party analytics SDK permissions. 2. Test data: 'SDK Manifest audit'. 3. Verify security defense.</t>
        </is>
      </c>
      <c r="I299" s="28" t="inlineStr">
        <is>
          <t>SDK Manifest audit</t>
        </is>
      </c>
      <c r="J299" s="28" t="inlineStr">
        <is>
          <t>SDKs restricted from collecting sensitive location or contact data</t>
        </is>
      </c>
      <c r="K299" s="28" t="inlineStr">
        <is>
          <t>As expected - Approved</t>
        </is>
      </c>
      <c r="L299" s="25" t="inlineStr">
        <is>
          <t>Pass</t>
        </is>
      </c>
      <c r="M299" s="27" t="inlineStr">
        <is>
          <t>Manual</t>
        </is>
      </c>
    </row>
    <row r="300">
      <c r="A300" s="22" t="inlineStr">
        <is>
          <t>TC_APP_299</t>
        </is>
      </c>
      <c r="B300" s="23" t="inlineStr">
        <is>
          <t>Mobile E2E</t>
        </is>
      </c>
      <c r="C300" s="24" t="inlineStr">
        <is>
          <t>Mobile Security &amp; Data Protection</t>
        </is>
      </c>
      <c r="D300" s="22" t="inlineStr">
        <is>
          <t>P1 - High</t>
        </is>
      </c>
      <c r="E300" s="23" t="inlineStr">
        <is>
          <t>Security</t>
        </is>
      </c>
      <c r="F300" s="24" t="inlineStr">
        <is>
          <t>Security - OWASP Mobile Top 10 Compliance Verification</t>
        </is>
      </c>
      <c r="G300" s="24" t="inlineStr">
        <is>
          <t>Mobile security audit environment active</t>
        </is>
      </c>
      <c r="H300" s="24" t="inlineStr">
        <is>
          <t>1. Execute OWASP Mobile Security Testing Guide (MSTG). 2. Test data: 'OWASP MSTG Audit'. 3. Verify security defense.</t>
        </is>
      </c>
      <c r="I300" s="24" t="inlineStr">
        <is>
          <t>OWASP MSTG Audit</t>
        </is>
      </c>
      <c r="J300" s="24" t="inlineStr">
        <is>
          <t>100% compliance with OWASP Mobile Security Standards</t>
        </is>
      </c>
      <c r="K300" s="24" t="inlineStr">
        <is>
          <t>As expected - Approved</t>
        </is>
      </c>
      <c r="L300" s="25" t="inlineStr">
        <is>
          <t>Pass</t>
        </is>
      </c>
      <c r="M300" s="23" t="inlineStr">
        <is>
          <t>Manual</t>
        </is>
      </c>
    </row>
    <row r="301">
      <c r="A301" s="26" t="inlineStr">
        <is>
          <t>TC_APP_300</t>
        </is>
      </c>
      <c r="B301" s="27" t="inlineStr">
        <is>
          <t>Mobile E2E</t>
        </is>
      </c>
      <c r="C301" s="28" t="inlineStr">
        <is>
          <t>Mobile Security &amp; Data Protection</t>
        </is>
      </c>
      <c r="D301" s="26" t="inlineStr">
        <is>
          <t>P1 - High</t>
        </is>
      </c>
      <c r="E301" s="27" t="inlineStr">
        <is>
          <t>Security</t>
        </is>
      </c>
      <c r="F301" s="28" t="inlineStr">
        <is>
          <t>Security - Final Mobile Security Health Certification</t>
        </is>
      </c>
      <c r="G301" s="28" t="inlineStr">
        <is>
          <t>Mobile security audit environment active</t>
        </is>
      </c>
      <c r="H301" s="28" t="inlineStr">
        <is>
          <t>1. Review security audit summary. 2. Test data: 'Security Scorecard'. 3. Verify security defense.</t>
        </is>
      </c>
      <c r="I301" s="28" t="inlineStr">
        <is>
          <t>Security Scorecard</t>
        </is>
      </c>
      <c r="J301" s="28" t="inlineStr">
        <is>
          <t>App certified secure and approved for production release</t>
        </is>
      </c>
      <c r="K301" s="28" t="inlineStr">
        <is>
          <t>As expected - Approved</t>
        </is>
      </c>
      <c r="L301" s="25" t="inlineStr">
        <is>
          <t>Pass</t>
        </is>
      </c>
      <c r="M301" s="27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2026-07-27T12:46:55Z</dcterms:created>
  <dcterms:modified xsi:type="dcterms:W3CDTF">2026-07-27T12:46:55Z</dcterms:modified>
</cp:coreProperties>
</file>